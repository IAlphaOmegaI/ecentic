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ap Table" sheetId="1" state="visible" r:id="rId1"/>
    <sheet xmlns:r="http://schemas.openxmlformats.org/officeDocument/2006/relationships" name="€500K Round Scenarios" sheetId="2" state="visible" r:id="rId2"/>
    <sheet xmlns:r="http://schemas.openxmlformats.org/officeDocument/2006/relationships" name="Vesting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0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sz val="11"/>
    </font>
    <font>
      <i val="1"/>
      <color rgb="006B7280"/>
    </font>
    <font>
      <b val="1"/>
      <sz val="10"/>
    </font>
    <font>
      <b val="1"/>
      <color rgb="001E40A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1" pivotButton="0" quotePrefix="0" xfId="0"/>
    <xf numFmtId="164" fontId="0" fillId="0" borderId="1" pivotButton="0" quotePrefix="0" xfId="0"/>
    <xf numFmtId="0" fontId="9" fillId="0" borderId="1" pivotButton="0" quotePrefix="0" xfId="0"/>
    <xf numFmtId="0" fontId="5" fillId="4" borderId="1" pivotButton="0" quotePrefix="0" xfId="0"/>
    <xf numFmtId="10" fontId="5" fillId="4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écentic shpk — Capitalization Table</t>
        </is>
      </c>
    </row>
    <row r="2">
      <c r="A2" s="2" t="inlineStr">
        <is>
          <t>As of 2 June 2026 · Pre-money, prior to €500K seed</t>
        </is>
      </c>
    </row>
    <row r="3">
      <c r="A3" s="2" t="inlineStr">
        <is>
          <t>Authorized: 100,000 Common Shares · Par: 1 ALL · Registered capital: 100,000 ALL</t>
        </is>
      </c>
    </row>
    <row r="5">
      <c r="A5" s="3" t="inlineStr">
        <is>
          <t>Shareholder</t>
        </is>
      </c>
      <c r="B5" s="3" t="inlineStr">
        <is>
          <t>Role</t>
        </is>
      </c>
      <c r="C5" s="3" t="inlineStr">
        <is>
          <t>Class</t>
        </is>
      </c>
      <c r="D5" s="3" t="inlineStr">
        <is>
          <t>Shares</t>
        </is>
      </c>
      <c r="E5" s="3" t="inlineStr">
        <is>
          <t>% Issued</t>
        </is>
      </c>
      <c r="F5" s="3" t="inlineStr">
        <is>
          <t>% Fully Diluted</t>
        </is>
      </c>
    </row>
    <row r="6">
      <c r="A6" s="4" t="inlineStr">
        <is>
          <t>Xhurian Shaba</t>
        </is>
      </c>
      <c r="B6" s="4" t="inlineStr">
        <is>
          <t>Founder · CEO</t>
        </is>
      </c>
      <c r="C6" s="4" t="inlineStr">
        <is>
          <t>Common</t>
        </is>
      </c>
      <c r="D6" s="5" t="n">
        <v>40000</v>
      </c>
      <c r="E6" s="6">
        <f>D6/D$9</f>
        <v/>
      </c>
      <c r="F6" s="6">
        <f>D6/D$11</f>
        <v/>
      </c>
    </row>
    <row r="7">
      <c r="A7" s="4" t="inlineStr">
        <is>
          <t>Alvi Palloshi</t>
        </is>
      </c>
      <c r="B7" s="4" t="inlineStr">
        <is>
          <t>Founder · CDO</t>
        </is>
      </c>
      <c r="C7" s="4" t="inlineStr">
        <is>
          <t>Common</t>
        </is>
      </c>
      <c r="D7" s="5" t="n">
        <v>30000</v>
      </c>
      <c r="E7" s="6">
        <f>D7/D$9</f>
        <v/>
      </c>
      <c r="F7" s="6">
        <f>D7/D$11</f>
        <v/>
      </c>
    </row>
    <row r="8">
      <c r="A8" s="4" t="inlineStr">
        <is>
          <t>Iseld Muça</t>
        </is>
      </c>
      <c r="B8" s="4" t="inlineStr">
        <is>
          <t>Founder · Head of Sales</t>
        </is>
      </c>
      <c r="C8" s="4" t="inlineStr">
        <is>
          <t>Common</t>
        </is>
      </c>
      <c r="D8" s="5" t="n">
        <v>30000</v>
      </c>
      <c r="E8" s="6">
        <f>D8/D$9</f>
        <v/>
      </c>
      <c r="F8" s="6">
        <f>D8/D$11</f>
        <v/>
      </c>
    </row>
    <row r="9">
      <c r="A9" s="7" t="inlineStr">
        <is>
          <t>Founders Subtotal</t>
        </is>
      </c>
      <c r="B9" s="7" t="n"/>
      <c r="C9" s="7" t="n"/>
      <c r="D9" s="8">
        <f>SUM(D6:D8)</f>
        <v/>
      </c>
      <c r="E9" s="9">
        <f>D9/D9</f>
        <v/>
      </c>
      <c r="F9" s="9">
        <f>D9/D11</f>
        <v/>
      </c>
    </row>
    <row r="10">
      <c r="A10" s="10" t="inlineStr">
        <is>
          <t>ESOP Pool (reserved, unissued)</t>
        </is>
      </c>
      <c r="B10" s="10" t="n"/>
      <c r="C10" s="10" t="n"/>
      <c r="D10" s="11" t="n">
        <v>11111</v>
      </c>
      <c r="E10" s="12" t="n">
        <v>0</v>
      </c>
      <c r="F10" s="12">
        <f>D10/D11</f>
        <v/>
      </c>
    </row>
    <row r="11">
      <c r="A11" s="7" t="inlineStr">
        <is>
          <t>Total (Fully Diluted)</t>
        </is>
      </c>
      <c r="B11" s="7" t="n"/>
      <c r="C11" s="7" t="n"/>
      <c r="D11" s="8">
        <f>D9+D10</f>
        <v/>
      </c>
      <c r="E11" s="7" t="n"/>
      <c r="F11" s="9" t="n">
        <v>1</v>
      </c>
    </row>
    <row r="13">
      <c r="A13" s="13" t="inlineStr">
        <is>
          <t>Notes</t>
        </is>
      </c>
    </row>
    <row r="14">
      <c r="A14" s="14" t="inlineStr">
        <is>
          <t>1. All Common Shares subject to 4-year vesting with 1-year cliff. Vesting Start Date = date of incorporation.</t>
        </is>
      </c>
    </row>
    <row r="15">
      <c r="A15" s="14" t="inlineStr">
        <is>
          <t>2. ESOP Pool reserved as authorized-but-unissued capacity (11,111 shares = 10% fully diluted). Issued upon grant + share capital increase.</t>
        </is>
      </c>
    </row>
    <row r="16">
      <c r="A16" s="14" t="inlineStr">
        <is>
          <t>3. Two contractors (Design freelancer + AI freelancer) hold no equity and no Options.</t>
        </is>
      </c>
    </row>
    <row r="17">
      <c r="A17" s="14" t="inlineStr">
        <is>
          <t>4. Founder email aliases: firstname@ecentic.ai</t>
        </is>
      </c>
    </row>
  </sheetData>
  <mergeCells count="7">
    <mergeCell ref="A2:F2"/>
    <mergeCell ref="A16:F16"/>
    <mergeCell ref="A14:F14"/>
    <mergeCell ref="A1:F1"/>
    <mergeCell ref="A17:F17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€500K Seed Round — Post-Money Scenarios</t>
        </is>
      </c>
    </row>
    <row r="2">
      <c r="A2" s="2" t="inlineStr">
        <is>
          <t>Modeling investor dilution across three post-money valuations</t>
        </is>
      </c>
    </row>
    <row r="4">
      <c r="A4" s="15" t="inlineStr">
        <is>
          <t>Assumptions</t>
        </is>
      </c>
    </row>
    <row r="5">
      <c r="A5" s="13" t="inlineStr">
        <is>
          <t>Round size</t>
        </is>
      </c>
      <c r="B5" t="inlineStr">
        <is>
          <t>€500,000</t>
        </is>
      </c>
    </row>
    <row r="6">
      <c r="A6" s="13" t="inlineStr">
        <is>
          <t>Round type</t>
        </is>
      </c>
      <c r="B6" t="inlineStr">
        <is>
          <t>SAFE / Priced Equity Round</t>
        </is>
      </c>
    </row>
    <row r="7">
      <c r="A7" s="13" t="inlineStr">
        <is>
          <t>ESOP top-up (post-round)</t>
        </is>
      </c>
      <c r="B7" t="inlineStr">
        <is>
          <t>10% (existing pool)</t>
        </is>
      </c>
    </row>
    <row r="8">
      <c r="A8" s="13" t="inlineStr">
        <is>
          <t>Investor instrument</t>
        </is>
      </c>
      <c r="B8" t="inlineStr">
        <is>
          <t>Common-equivalent (SAFE assumed to convert at post-money cap)</t>
        </is>
      </c>
    </row>
    <row r="11">
      <c r="A11" s="15" t="inlineStr">
        <is>
          <t>Scenario Comparison</t>
        </is>
      </c>
    </row>
    <row r="12">
      <c r="A12" s="3" t="inlineStr"/>
      <c r="B12" s="3" t="inlineStr">
        <is>
          <t>Scenario A (€4M post)</t>
        </is>
      </c>
      <c r="C12" s="3" t="inlineStr">
        <is>
          <t>Scenario B (€5M post)</t>
        </is>
      </c>
      <c r="D12" s="3" t="inlineStr">
        <is>
          <t>Scenario C (€6M post)</t>
        </is>
      </c>
    </row>
    <row r="13">
      <c r="A13" s="16" t="inlineStr">
        <is>
          <t>Post-money valuation</t>
        </is>
      </c>
      <c r="B13" s="17" t="n">
        <v>4000000</v>
      </c>
      <c r="C13" s="17" t="n">
        <v>5000000</v>
      </c>
      <c r="D13" s="17" t="n">
        <v>6000000</v>
      </c>
    </row>
    <row r="14">
      <c r="A14" s="16" t="inlineStr">
        <is>
          <t>Pre-money valuation</t>
        </is>
      </c>
      <c r="B14" s="17">
        <f>B13-500000</f>
        <v/>
      </c>
      <c r="C14" s="17">
        <f>C13-500000</f>
        <v/>
      </c>
      <c r="D14" s="17">
        <f>D13-500000</f>
        <v/>
      </c>
    </row>
    <row r="15">
      <c r="A15" s="18" t="inlineStr">
        <is>
          <t>Investor ownership %</t>
        </is>
      </c>
      <c r="B15" s="6">
        <f>500000/B13</f>
        <v/>
      </c>
      <c r="C15" s="6">
        <f>500000/C13</f>
        <v/>
      </c>
      <c r="D15" s="6">
        <f>500000/D13</f>
        <v/>
      </c>
    </row>
    <row r="16">
      <c r="A16" s="18" t="inlineStr">
        <is>
          <t>Founders combined % (post-round, post-ESOP)</t>
        </is>
      </c>
      <c r="B16" s="6">
        <f>(1-B15)*0.9</f>
        <v/>
      </c>
      <c r="C16" s="6">
        <f>(1-C15)*0.9</f>
        <v/>
      </c>
      <c r="D16" s="6">
        <f>(1-D15)*0.9</f>
        <v/>
      </c>
    </row>
    <row r="17">
      <c r="A17" s="18" t="inlineStr">
        <is>
          <t>Xhurian (40% founder share) — post-round %</t>
        </is>
      </c>
      <c r="B17" s="6">
        <f>B16*40/90</f>
        <v/>
      </c>
      <c r="C17" s="6">
        <f>C16*40/90</f>
        <v/>
      </c>
      <c r="D17" s="6">
        <f>D16*40/90</f>
        <v/>
      </c>
    </row>
    <row r="18">
      <c r="A18" s="18" t="inlineStr">
        <is>
          <t>Alvi (30% founder share) — post-round %</t>
        </is>
      </c>
      <c r="B18" s="6">
        <f>B16*30/90</f>
        <v/>
      </c>
      <c r="C18" s="6">
        <f>C16*30/90</f>
        <v/>
      </c>
      <c r="D18" s="6">
        <f>D16*30/90</f>
        <v/>
      </c>
    </row>
    <row r="19">
      <c r="A19" s="18" t="inlineStr">
        <is>
          <t>Iseld (30% founder share) — post-round %</t>
        </is>
      </c>
      <c r="B19" s="6">
        <f>B16*30/90</f>
        <v/>
      </c>
      <c r="C19" s="6">
        <f>C16*30/90</f>
        <v/>
      </c>
      <c r="D19" s="6">
        <f>D16*30/90</f>
        <v/>
      </c>
    </row>
    <row r="20">
      <c r="A20" s="18" t="inlineStr">
        <is>
          <t>ESOP — post-round %</t>
        </is>
      </c>
      <c r="B20" s="6">
        <f>(1-B15)*0.1</f>
        <v/>
      </c>
      <c r="C20" s="6">
        <f>(1-C15)*0.1</f>
        <v/>
      </c>
      <c r="D20" s="6">
        <f>(1-D15)*0.1</f>
        <v/>
      </c>
    </row>
    <row r="21">
      <c r="A21" s="19" t="inlineStr">
        <is>
          <t>Sanity check (sum = 100%)</t>
        </is>
      </c>
      <c r="B21" s="20">
        <f>B15+B16+B20</f>
        <v/>
      </c>
      <c r="C21" s="20">
        <f>C15+C16+C20</f>
        <v/>
      </c>
      <c r="D21" s="20">
        <f>D15+D16+D20</f>
        <v/>
      </c>
    </row>
    <row r="23">
      <c r="A23" s="13" t="inlineStr">
        <is>
          <t>Notes</t>
        </is>
      </c>
    </row>
    <row r="24" ht="36" customHeight="1">
      <c r="A24" s="14" t="inlineStr">
        <is>
          <t>1. Scenarios assume ESOP pool sized to 10% of post-round fully diluted (post-money treatment — investor takes that dilution).</t>
        </is>
      </c>
    </row>
    <row r="25" ht="36" customHeight="1">
      <c r="A25" s="14" t="inlineStr">
        <is>
          <t>2. €500K at €5M post = 10% investor ownership. Aligns with European pre-seed comparables for AI infrastructure / e-commerce SaaS with live revenue.</t>
        </is>
      </c>
    </row>
    <row r="26" ht="36" customHeight="1">
      <c r="A26" s="14" t="inlineStr">
        <is>
          <t>3. Recommended anchor: Scenario B (€5M post-money). Range €4M–€6M is defensible given current traction (2 paying customers, App Store live, enterprise pipeline).</t>
        </is>
      </c>
    </row>
    <row r="27" ht="36" customHeight="1">
      <c r="A27" s="14" t="inlineStr">
        <is>
          <t>4. SAFE conversion: at post-money cap shown, less any standard discount / MFN protections negotiated.</t>
        </is>
      </c>
    </row>
  </sheetData>
  <mergeCells count="6">
    <mergeCell ref="A27:D27"/>
    <mergeCell ref="A2:H2"/>
    <mergeCell ref="A26:D26"/>
    <mergeCell ref="A25:D25"/>
    <mergeCell ref="A24:D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Founder Vesting Schedule</t>
        </is>
      </c>
    </row>
    <row r="2">
      <c r="A2" s="2" t="inlineStr">
        <is>
          <t>4-year vesting · 1-year cliff · Start Date: Date of incorporation</t>
        </is>
      </c>
    </row>
    <row r="4">
      <c r="A4" s="3" t="inlineStr">
        <is>
          <t>Month</t>
        </is>
      </c>
      <c r="B4" s="3" t="inlineStr">
        <is>
          <t>% Vested</t>
        </is>
      </c>
      <c r="C4" s="3" t="inlineStr">
        <is>
          <t>Xhurian (40K)</t>
        </is>
      </c>
      <c r="D4" s="3" t="inlineStr">
        <is>
          <t>Alvi (30K)</t>
        </is>
      </c>
      <c r="E4" s="3" t="inlineStr">
        <is>
          <t>Iseld (30K)</t>
        </is>
      </c>
      <c r="F4" s="3" t="inlineStr">
        <is>
          <t>Notes</t>
        </is>
      </c>
    </row>
    <row r="5">
      <c r="A5" s="21" t="n">
        <v>0</v>
      </c>
      <c r="B5" s="6" t="n">
        <v>0</v>
      </c>
      <c r="C5" s="5">
        <f>B5*40000</f>
        <v/>
      </c>
      <c r="D5" s="5">
        <f>B5*30000</f>
        <v/>
      </c>
      <c r="E5" s="5">
        <f>B5*30000</f>
        <v/>
      </c>
      <c r="F5" s="4" t="inlineStr">
        <is>
          <t>Incorporation. No vesting.</t>
        </is>
      </c>
    </row>
    <row r="6">
      <c r="A6" s="21" t="n">
        <v>6</v>
      </c>
      <c r="B6" s="6" t="n">
        <v>0</v>
      </c>
      <c r="C6" s="5">
        <f>B6*40000</f>
        <v/>
      </c>
      <c r="D6" s="5">
        <f>B6*30000</f>
        <v/>
      </c>
      <c r="E6" s="5">
        <f>B6*30000</f>
        <v/>
      </c>
      <c r="F6" s="4" t="inlineStr">
        <is>
          <t>Mid-cliff. Still 0%.</t>
        </is>
      </c>
    </row>
    <row r="7">
      <c r="A7" s="21" t="n">
        <v>12</v>
      </c>
      <c r="B7" s="6" t="n">
        <v>0.25</v>
      </c>
      <c r="C7" s="5">
        <f>B7*40000</f>
        <v/>
      </c>
      <c r="D7" s="5">
        <f>B7*30000</f>
        <v/>
      </c>
      <c r="E7" s="5">
        <f>B7*30000</f>
        <v/>
      </c>
      <c r="F7" s="4" t="inlineStr">
        <is>
          <t>Cliff — 25% vests in one block.</t>
        </is>
      </c>
    </row>
    <row r="8">
      <c r="A8" s="21" t="n">
        <v>18</v>
      </c>
      <c r="B8" s="6" t="n">
        <v>0.375</v>
      </c>
      <c r="C8" s="5">
        <f>B8*40000</f>
        <v/>
      </c>
      <c r="D8" s="5">
        <f>B8*30000</f>
        <v/>
      </c>
      <c r="E8" s="5">
        <f>B8*30000</f>
        <v/>
      </c>
      <c r="F8" s="4" t="inlineStr">
        <is>
          <t>Linear monthly vesting begins.</t>
        </is>
      </c>
    </row>
    <row r="9">
      <c r="A9" s="21" t="n">
        <v>24</v>
      </c>
      <c r="B9" s="6" t="n">
        <v>0.5</v>
      </c>
      <c r="C9" s="5">
        <f>B9*40000</f>
        <v/>
      </c>
      <c r="D9" s="5">
        <f>B9*30000</f>
        <v/>
      </c>
      <c r="E9" s="5">
        <f>B9*30000</f>
        <v/>
      </c>
      <c r="F9" s="4" t="inlineStr">
        <is>
          <t>End of Year 2.</t>
        </is>
      </c>
    </row>
    <row r="10">
      <c r="A10" s="21" t="n">
        <v>36</v>
      </c>
      <c r="B10" s="6" t="n">
        <v>0.75</v>
      </c>
      <c r="C10" s="5">
        <f>B10*40000</f>
        <v/>
      </c>
      <c r="D10" s="5">
        <f>B10*30000</f>
        <v/>
      </c>
      <c r="E10" s="5">
        <f>B10*30000</f>
        <v/>
      </c>
      <c r="F10" s="4" t="inlineStr">
        <is>
          <t>End of Year 3.</t>
        </is>
      </c>
    </row>
    <row r="11">
      <c r="A11" s="21" t="n">
        <v>48</v>
      </c>
      <c r="B11" s="6" t="n">
        <v>1</v>
      </c>
      <c r="C11" s="5">
        <f>B11*40000</f>
        <v/>
      </c>
      <c r="D11" s="5">
        <f>B11*30000</f>
        <v/>
      </c>
      <c r="E11" s="5">
        <f>B11*30000</f>
        <v/>
      </c>
      <c r="F11" s="4" t="inlineStr">
        <is>
          <t>Fully vested.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2026-06-11T12:17:47Z</dcterms:created>
  <dcterms:modified xmlns:dcterms="http://purl.org/dc/terms/" xmlns:xsi="http://www.w3.org/2001/XMLSchema-instance" xsi:type="dcterms:W3CDTF">2026-06-11T12:17:47Z</dcterms:modified>
</cp:coreProperties>
</file>