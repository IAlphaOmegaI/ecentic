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36 Month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Burn &amp; Runway" sheetId="4" state="visible" r:id="rId4"/>
    <sheet xmlns:r="http://schemas.openxmlformats.org/officeDocument/2006/relationships" name="Use of F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€#,##0.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6B7280"/>
      <sz val="10"/>
    </font>
    <font>
      <name val="Calibri"/>
      <b val="1"/>
      <color rgb="001E40AF"/>
      <sz val="12"/>
    </font>
    <font>
      <i val="1"/>
      <color rgb="0092400E"/>
    </font>
    <font>
      <name val="Calibri"/>
      <b val="1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BEB"/>
        <bgColor rgb="00FFFBEB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0" pivotButton="0" quotePrefix="0" xfId="0"/>
    <xf numFmtId="1" fontId="4" fillId="2" borderId="0" pivotButton="0" quotePrefix="0" xfId="0"/>
    <xf numFmtId="164" fontId="4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9" fontId="4" fillId="2" borderId="0" pivotButton="0" quotePrefix="0" xfId="0"/>
    <xf numFmtId="0" fontId="5" fillId="0" borderId="0" pivotButton="0" quotePrefix="0" xfId="0"/>
    <xf numFmtId="10" fontId="4" fillId="2" borderId="0" pivotButton="0" quotePrefix="0" xfId="0"/>
    <xf numFmtId="0" fontId="6" fillId="3" borderId="0" pivotButton="0" quotePrefix="0" xfId="0"/>
    <xf numFmtId="0" fontId="4" fillId="2" borderId="0" pivotButton="0" quotePrefix="0" xfId="0"/>
    <xf numFmtId="0" fontId="6" fillId="3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6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6" fillId="3" borderId="1" pivotButton="0" quotePrefix="0" xfId="0"/>
    <xf numFmtId="0" fontId="5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9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écentic shpk — Financial Model</t>
        </is>
      </c>
    </row>
    <row r="2">
      <c r="A2" s="2" t="inlineStr">
        <is>
          <t>All inputs in this tab feed downstream tabs. Edit yellow cells to recalculate.</t>
        </is>
      </c>
    </row>
    <row r="3">
      <c r="A3" s="2" t="inlineStr">
        <is>
          <t>Currency: EUR (€) · Period: 36 months starting July 2026 · FX assumption: 1 USD = 0.92 EUR</t>
        </is>
      </c>
    </row>
    <row r="5">
      <c r="A5" s="3" t="inlineStr">
        <is>
          <t>STARTING POSITION (June 2026)</t>
        </is>
      </c>
    </row>
    <row r="6">
      <c r="A6" t="inlineStr">
        <is>
          <t>Cash on hand (€)</t>
        </is>
      </c>
      <c r="B6" s="4" t="n">
        <v>4000</v>
      </c>
    </row>
    <row r="7">
      <c r="A7" t="inlineStr">
        <is>
          <t>Current MRR (€)</t>
        </is>
      </c>
      <c r="B7" s="4" t="n">
        <v>200</v>
      </c>
    </row>
    <row r="8">
      <c r="A8" t="inlineStr">
        <is>
          <t>Current burn (€/mo)</t>
        </is>
      </c>
      <c r="B8" s="4" t="n">
        <v>400</v>
      </c>
    </row>
    <row r="9">
      <c r="A9" t="inlineStr">
        <is>
          <t>Paying customers (count)</t>
        </is>
      </c>
      <c r="B9" s="5" t="n">
        <v>1</v>
      </c>
    </row>
    <row r="11">
      <c r="A11" s="3" t="inlineStr">
        <is>
          <t>ROUND ASSUMPTIONS</t>
        </is>
      </c>
    </row>
    <row r="12">
      <c r="A12" t="inlineStr">
        <is>
          <t>Round size (€)</t>
        </is>
      </c>
      <c r="B12" s="6" t="n">
        <v>300000</v>
      </c>
    </row>
    <row r="13">
      <c r="A13" t="inlineStr">
        <is>
          <t>Round close month (1 = July 2026)</t>
        </is>
      </c>
      <c r="B13" s="6" t="n">
        <v>1</v>
      </c>
    </row>
    <row r="14">
      <c r="A14" t="inlineStr">
        <is>
          <t>Post-money valuation (€)</t>
        </is>
      </c>
      <c r="B14" s="6" t="n">
        <v>4000000</v>
      </c>
    </row>
    <row r="15">
      <c r="A15" t="inlineStr">
        <is>
          <t>Investor ownership</t>
        </is>
      </c>
      <c r="B15" s="7">
        <f>B12/B14</f>
        <v/>
      </c>
    </row>
    <row r="17">
      <c r="A17" s="3" t="inlineStr">
        <is>
          <t>PRICING (EUR, blended from USD list price × 0.92)</t>
        </is>
      </c>
    </row>
    <row r="18">
      <c r="A18" t="inlineStr">
        <is>
          <t>Tier 1 — Connect (€/mo)</t>
        </is>
      </c>
      <c r="B18" s="8">
        <f>149*0.92</f>
        <v/>
      </c>
    </row>
    <row r="19">
      <c r="A19" t="inlineStr">
        <is>
          <t>Tier 2 — Compete (€/mo)</t>
        </is>
      </c>
      <c r="B19" s="8">
        <f>499*0.92</f>
        <v/>
      </c>
    </row>
    <row r="20">
      <c r="A20" t="inlineStr">
        <is>
          <t>Tier 3 — Dominate (€/mo)</t>
        </is>
      </c>
      <c r="B20" s="8">
        <f>999*0.92</f>
        <v/>
      </c>
    </row>
    <row r="21">
      <c r="A21" t="inlineStr">
        <is>
          <t>Agency audit avg (€, one-time)</t>
        </is>
      </c>
      <c r="B21" s="6" t="n">
        <v>5000</v>
      </c>
    </row>
    <row r="22">
      <c r="A22" t="inlineStr">
        <is>
          <t>Enterprise pilot ACV (€/yr)</t>
        </is>
      </c>
      <c r="B22" s="6" t="n">
        <v>37500</v>
      </c>
    </row>
    <row r="24">
      <c r="A24" s="3" t="inlineStr">
        <is>
          <t>CUSTOMER MIX (% of SaaS subscribers per tier)</t>
        </is>
      </c>
    </row>
    <row r="25">
      <c r="A25" t="inlineStr">
        <is>
          <t>Tier 1 share</t>
        </is>
      </c>
      <c r="B25" s="9" t="n">
        <v>0.7</v>
      </c>
    </row>
    <row r="26">
      <c r="A26" t="inlineStr">
        <is>
          <t>Tier 2 share</t>
        </is>
      </c>
      <c r="B26" s="9" t="n">
        <v>0.2</v>
      </c>
    </row>
    <row r="27">
      <c r="A27" t="inlineStr">
        <is>
          <t>Tier 3 share</t>
        </is>
      </c>
      <c r="B27" s="9" t="n">
        <v>0.1</v>
      </c>
    </row>
    <row r="28">
      <c r="A28" s="10" t="inlineStr">
        <is>
          <t>Blended ARPA (€/mo)</t>
        </is>
      </c>
      <c r="B28" s="8">
        <f>B18*B25+B19*B26+B20*B27</f>
        <v/>
      </c>
    </row>
    <row r="30">
      <c r="A30" s="3" t="inlineStr">
        <is>
          <t>GROWTH ASSUMPTIONS</t>
        </is>
      </c>
    </row>
    <row r="31">
      <c r="A31" t="inlineStr">
        <is>
          <t>New self-serve customers M1 (post-raise)</t>
        </is>
      </c>
      <c r="B31" s="5" t="n">
        <v>3</v>
      </c>
    </row>
    <row r="32">
      <c r="A32" t="inlineStr">
        <is>
          <t>Monthly growth rate (compounding)</t>
        </is>
      </c>
      <c r="B32" s="11" t="n">
        <v>0.18</v>
      </c>
    </row>
    <row r="33">
      <c r="A33" t="inlineStr">
        <is>
          <t>Monthly logo churn</t>
        </is>
      </c>
      <c r="B33" s="11" t="n">
        <v>0.04</v>
      </c>
    </row>
    <row r="34">
      <c r="A34" t="inlineStr">
        <is>
          <t>Enterprise pilots closed Year 1</t>
        </is>
      </c>
      <c r="B34" s="5" t="n">
        <v>2</v>
      </c>
    </row>
    <row r="35">
      <c r="A35" t="inlineStr">
        <is>
          <t>Audit projects per month (steady state, from M6)</t>
        </is>
      </c>
      <c r="B35" s="5" t="n">
        <v>2</v>
      </c>
    </row>
    <row r="37">
      <c r="A37" s="3" t="inlineStr">
        <is>
          <t>COSTS (monthly run-rate by category)</t>
        </is>
      </c>
    </row>
    <row r="38">
      <c r="A38" t="inlineStr">
        <is>
          <t>Founder salary (each, €/mo, starts M3)</t>
        </is>
      </c>
      <c r="B38" s="6" t="n">
        <v>1500</v>
      </c>
    </row>
    <row r="39">
      <c r="A39" t="inlineStr">
        <is>
          <t>Engineer salary gross (€/mo)</t>
        </is>
      </c>
      <c r="B39" s="6" t="n">
        <v>2500</v>
      </c>
    </row>
    <row r="40">
      <c r="A40" t="inlineStr">
        <is>
          <t>GTM/Sales hire (€/mo)</t>
        </is>
      </c>
      <c r="B40" s="6" t="n">
        <v>2800</v>
      </c>
    </row>
    <row r="41">
      <c r="A41" t="inlineStr">
        <is>
          <t>Cloud + infra (€/mo, scaled)</t>
        </is>
      </c>
      <c r="B41" s="6" t="n">
        <v>400</v>
      </c>
    </row>
    <row r="42">
      <c r="A42" t="inlineStr">
        <is>
          <t>AI/LLM API spend (€/mo, M1)</t>
        </is>
      </c>
      <c r="B42" s="6" t="n">
        <v>150</v>
      </c>
    </row>
    <row r="43">
      <c r="A43" t="inlineStr">
        <is>
          <t>AI/LLM spend growth per customer (€/mo each)</t>
        </is>
      </c>
      <c r="B43" s="6" t="n">
        <v>8</v>
      </c>
    </row>
    <row r="44">
      <c r="A44" t="inlineStr">
        <is>
          <t>Tools &amp; SaaS (€/mo)</t>
        </is>
      </c>
      <c r="B44" s="6" t="n">
        <v>300</v>
      </c>
    </row>
    <row r="45">
      <c r="A45" t="inlineStr">
        <is>
          <t>Legal/accounting (€/mo)</t>
        </is>
      </c>
      <c r="B45" s="6" t="n">
        <v>250</v>
      </c>
    </row>
    <row r="46">
      <c r="A46" t="inlineStr">
        <is>
          <t>Marketing &amp; content (€/mo)</t>
        </is>
      </c>
      <c r="B46" s="6" t="n">
        <v>500</v>
      </c>
    </row>
    <row r="48">
      <c r="A48" s="3" t="inlineStr">
        <is>
          <t>HIRING PLAN (post-raise)</t>
        </is>
      </c>
    </row>
    <row r="49">
      <c r="A49" s="12" t="inlineStr">
        <is>
          <t>Role</t>
        </is>
      </c>
      <c r="B49" s="12" t="inlineStr">
        <is>
          <t>Start Month</t>
        </is>
      </c>
    </row>
    <row r="50">
      <c r="A50" t="inlineStr">
        <is>
          <t>Engineer #1 (back-end)</t>
        </is>
      </c>
      <c r="B50" s="13" t="n">
        <v>2</v>
      </c>
    </row>
    <row r="51">
      <c r="A51" t="inlineStr">
        <is>
          <t>GTM/Sales Lead</t>
        </is>
      </c>
      <c r="B51" s="13" t="n">
        <v>3</v>
      </c>
    </row>
    <row r="52">
      <c r="A52" t="inlineStr">
        <is>
          <t>Engineer #2 (full-stack)</t>
        </is>
      </c>
      <c r="B52" s="13" t="n">
        <v>6</v>
      </c>
    </row>
    <row r="53">
      <c r="A53" t="inlineStr">
        <is>
          <t>Marketing Lead</t>
        </is>
      </c>
      <c r="B53" s="13" t="n">
        <v>9</v>
      </c>
    </row>
    <row r="54">
      <c r="A54" t="inlineStr">
        <is>
          <t>Customer Success</t>
        </is>
      </c>
      <c r="B54" s="13" t="n">
        <v>12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1" t="inlineStr">
        <is>
          <t>P&amp;L Projection — 36 Months</t>
        </is>
      </c>
    </row>
    <row r="2">
      <c r="A2" s="2" t="inlineStr">
        <is>
          <t>July 2026 → June 2029 · Driven by Assumptions tab</t>
        </is>
      </c>
    </row>
    <row r="4">
      <c r="A4" s="12" t="inlineStr">
        <is>
          <t>Line Item</t>
        </is>
      </c>
      <c r="B4" s="14" t="inlineStr">
        <is>
          <t>M1</t>
        </is>
      </c>
      <c r="C4" s="14" t="inlineStr">
        <is>
          <t>M2</t>
        </is>
      </c>
      <c r="D4" s="14" t="inlineStr">
        <is>
          <t>M3</t>
        </is>
      </c>
      <c r="E4" s="14" t="inlineStr">
        <is>
          <t>M4</t>
        </is>
      </c>
      <c r="F4" s="14" t="inlineStr">
        <is>
          <t>M5</t>
        </is>
      </c>
      <c r="G4" s="14" t="inlineStr">
        <is>
          <t>M6</t>
        </is>
      </c>
      <c r="H4" s="14" t="inlineStr">
        <is>
          <t>M7</t>
        </is>
      </c>
      <c r="I4" s="14" t="inlineStr">
        <is>
          <t>M8</t>
        </is>
      </c>
      <c r="J4" s="14" t="inlineStr">
        <is>
          <t>M9</t>
        </is>
      </c>
      <c r="K4" s="14" t="inlineStr">
        <is>
          <t>M10</t>
        </is>
      </c>
      <c r="L4" s="14" t="inlineStr">
        <is>
          <t>M11</t>
        </is>
      </c>
      <c r="M4" s="14" t="inlineStr">
        <is>
          <t>M12</t>
        </is>
      </c>
      <c r="N4" s="14" t="inlineStr">
        <is>
          <t>M13</t>
        </is>
      </c>
      <c r="O4" s="14" t="inlineStr">
        <is>
          <t>M14</t>
        </is>
      </c>
      <c r="P4" s="14" t="inlineStr">
        <is>
          <t>M15</t>
        </is>
      </c>
      <c r="Q4" s="14" t="inlineStr">
        <is>
          <t>M16</t>
        </is>
      </c>
      <c r="R4" s="14" t="inlineStr">
        <is>
          <t>M17</t>
        </is>
      </c>
      <c r="S4" s="14" t="inlineStr">
        <is>
          <t>M18</t>
        </is>
      </c>
      <c r="T4" s="14" t="inlineStr">
        <is>
          <t>M19</t>
        </is>
      </c>
      <c r="U4" s="14" t="inlineStr">
        <is>
          <t>M20</t>
        </is>
      </c>
      <c r="V4" s="14" t="inlineStr">
        <is>
          <t>M21</t>
        </is>
      </c>
      <c r="W4" s="14" t="inlineStr">
        <is>
          <t>M22</t>
        </is>
      </c>
      <c r="X4" s="14" t="inlineStr">
        <is>
          <t>M23</t>
        </is>
      </c>
      <c r="Y4" s="14" t="inlineStr">
        <is>
          <t>M24</t>
        </is>
      </c>
      <c r="Z4" s="14" t="inlineStr">
        <is>
          <t>M25</t>
        </is>
      </c>
      <c r="AA4" s="14" t="inlineStr">
        <is>
          <t>M26</t>
        </is>
      </c>
      <c r="AB4" s="14" t="inlineStr">
        <is>
          <t>M27</t>
        </is>
      </c>
      <c r="AC4" s="14" t="inlineStr">
        <is>
          <t>M28</t>
        </is>
      </c>
      <c r="AD4" s="14" t="inlineStr">
        <is>
          <t>M29</t>
        </is>
      </c>
      <c r="AE4" s="14" t="inlineStr">
        <is>
          <t>M30</t>
        </is>
      </c>
      <c r="AF4" s="14" t="inlineStr">
        <is>
          <t>M31</t>
        </is>
      </c>
      <c r="AG4" s="14" t="inlineStr">
        <is>
          <t>M32</t>
        </is>
      </c>
      <c r="AH4" s="14" t="inlineStr">
        <is>
          <t>M33</t>
        </is>
      </c>
      <c r="AI4" s="14" t="inlineStr">
        <is>
          <t>M34</t>
        </is>
      </c>
      <c r="AJ4" s="14" t="inlineStr">
        <is>
          <t>M35</t>
        </is>
      </c>
      <c r="AK4" s="14" t="inlineStr">
        <is>
          <t>M36</t>
        </is>
      </c>
      <c r="AL4" s="12" t="inlineStr">
        <is>
          <t>Year 1 Total</t>
        </is>
      </c>
      <c r="AM4" s="12" t="inlineStr">
        <is>
          <t>Year 2 Total</t>
        </is>
      </c>
      <c r="AN4" s="12" t="inlineStr">
        <is>
          <t>Year 3 Total</t>
        </is>
      </c>
    </row>
    <row r="5">
      <c r="A5" s="10" t="inlineStr">
        <is>
          <t>New self-serve customers / month</t>
        </is>
      </c>
      <c r="B5" s="15">
        <f>Assumptions!B31</f>
        <v/>
      </c>
      <c r="C5" s="15">
        <f>ROUND(B5*(1+Assumptions!B$32),0)</f>
        <v/>
      </c>
      <c r="D5" s="15">
        <f>ROUND(C5*(1+Assumptions!B$32),0)</f>
        <v/>
      </c>
      <c r="E5" s="15">
        <f>ROUND(D5*(1+Assumptions!B$32),0)</f>
        <v/>
      </c>
      <c r="F5" s="15">
        <f>ROUND(E5*(1+Assumptions!B$32),0)</f>
        <v/>
      </c>
      <c r="G5" s="15">
        <f>ROUND(F5*(1+Assumptions!B$32),0)</f>
        <v/>
      </c>
      <c r="H5" s="15">
        <f>ROUND(G5*(1+Assumptions!B$32),0)</f>
        <v/>
      </c>
      <c r="I5" s="15">
        <f>ROUND(H5*(1+Assumptions!B$32),0)</f>
        <v/>
      </c>
      <c r="J5" s="15">
        <f>ROUND(I5*(1+Assumptions!B$32),0)</f>
        <v/>
      </c>
      <c r="K5" s="15">
        <f>ROUND(J5*(1+Assumptions!B$32),0)</f>
        <v/>
      </c>
      <c r="L5" s="15">
        <f>ROUND(K5*(1+Assumptions!B$32),0)</f>
        <v/>
      </c>
      <c r="M5" s="15">
        <f>ROUND(L5*(1+Assumptions!B$32),0)</f>
        <v/>
      </c>
      <c r="N5" s="15">
        <f>ROUND(M5*(1+Assumptions!B$32),0)</f>
        <v/>
      </c>
      <c r="O5" s="15">
        <f>ROUND(N5*(1+Assumptions!B$32),0)</f>
        <v/>
      </c>
      <c r="P5" s="15">
        <f>ROUND(O5*(1+Assumptions!B$32),0)</f>
        <v/>
      </c>
      <c r="Q5" s="15">
        <f>ROUND(P5*(1+Assumptions!B$32),0)</f>
        <v/>
      </c>
      <c r="R5" s="15">
        <f>ROUND(Q5*(1+Assumptions!B$32),0)</f>
        <v/>
      </c>
      <c r="S5" s="15">
        <f>ROUND(R5*(1+Assumptions!B$32),0)</f>
        <v/>
      </c>
      <c r="T5" s="15">
        <f>ROUND(S5*(1+Assumptions!B$32),0)</f>
        <v/>
      </c>
      <c r="U5" s="15">
        <f>ROUND(T5*(1+Assumptions!B$32),0)</f>
        <v/>
      </c>
      <c r="V5" s="15">
        <f>ROUND(U5*(1+Assumptions!B$32),0)</f>
        <v/>
      </c>
      <c r="W5" s="15">
        <f>ROUND(V5*(1+Assumptions!B$32),0)</f>
        <v/>
      </c>
      <c r="X5" s="15">
        <f>ROUND(W5*(1+Assumptions!B$32),0)</f>
        <v/>
      </c>
      <c r="Y5" s="15">
        <f>ROUND(X5*(1+Assumptions!B$32),0)</f>
        <v/>
      </c>
      <c r="Z5" s="15">
        <f>ROUND(Y5*(1+Assumptions!B$32),0)</f>
        <v/>
      </c>
      <c r="AA5" s="15">
        <f>ROUND(Z5*(1+Assumptions!B$32),0)</f>
        <v/>
      </c>
      <c r="AB5" s="15">
        <f>ROUND(AA5*(1+Assumptions!B$32),0)</f>
        <v/>
      </c>
      <c r="AC5" s="15">
        <f>ROUND(AB5*(1+Assumptions!B$32),0)</f>
        <v/>
      </c>
      <c r="AD5" s="15">
        <f>ROUND(AC5*(1+Assumptions!B$32),0)</f>
        <v/>
      </c>
      <c r="AE5" s="15">
        <f>ROUND(AD5*(1+Assumptions!B$32),0)</f>
        <v/>
      </c>
      <c r="AF5" s="15">
        <f>ROUND(AE5*(1+Assumptions!B$32),0)</f>
        <v/>
      </c>
      <c r="AG5" s="15">
        <f>ROUND(AF5*(1+Assumptions!B$32),0)</f>
        <v/>
      </c>
      <c r="AH5" s="15">
        <f>ROUND(AG5*(1+Assumptions!B$32),0)</f>
        <v/>
      </c>
      <c r="AI5" s="15">
        <f>ROUND(AH5*(1+Assumptions!B$32),0)</f>
        <v/>
      </c>
      <c r="AJ5" s="15">
        <f>ROUND(AI5*(1+Assumptions!B$32),0)</f>
        <v/>
      </c>
      <c r="AK5" s="15">
        <f>ROUND(AJ5*(1+Assumptions!B$32),0)</f>
        <v/>
      </c>
      <c r="AL5" s="16">
        <f>SUM(B5:M5)</f>
        <v/>
      </c>
      <c r="AM5" s="16">
        <f>SUM(N5:Y5)</f>
        <v/>
      </c>
      <c r="AN5" s="16">
        <f>SUM(Z5:AK5)</f>
        <v/>
      </c>
    </row>
    <row r="6">
      <c r="A6" s="10" t="inlineStr">
        <is>
          <t>Active self-serve customers (cumulative, net of churn)</t>
        </is>
      </c>
      <c r="B6" s="15">
        <f>Assumptions!B9+B5</f>
        <v/>
      </c>
      <c r="C6" s="15">
        <f>ROUND(B6*(1-Assumptions!B$33)+C5,0)</f>
        <v/>
      </c>
      <c r="D6" s="15">
        <f>ROUND(C6*(1-Assumptions!B$33)+D5,0)</f>
        <v/>
      </c>
      <c r="E6" s="15">
        <f>ROUND(D6*(1-Assumptions!B$33)+E5,0)</f>
        <v/>
      </c>
      <c r="F6" s="15">
        <f>ROUND(E6*(1-Assumptions!B$33)+F5,0)</f>
        <v/>
      </c>
      <c r="G6" s="15">
        <f>ROUND(F6*(1-Assumptions!B$33)+G5,0)</f>
        <v/>
      </c>
      <c r="H6" s="15">
        <f>ROUND(G6*(1-Assumptions!B$33)+H5,0)</f>
        <v/>
      </c>
      <c r="I6" s="15">
        <f>ROUND(H6*(1-Assumptions!B$33)+I5,0)</f>
        <v/>
      </c>
      <c r="J6" s="15">
        <f>ROUND(I6*(1-Assumptions!B$33)+J5,0)</f>
        <v/>
      </c>
      <c r="K6" s="15">
        <f>ROUND(J6*(1-Assumptions!B$33)+K5,0)</f>
        <v/>
      </c>
      <c r="L6" s="15">
        <f>ROUND(K6*(1-Assumptions!B$33)+L5,0)</f>
        <v/>
      </c>
      <c r="M6" s="15">
        <f>ROUND(L6*(1-Assumptions!B$33)+M5,0)</f>
        <v/>
      </c>
      <c r="N6" s="15">
        <f>ROUND(M6*(1-Assumptions!B$33)+N5,0)</f>
        <v/>
      </c>
      <c r="O6" s="15">
        <f>ROUND(N6*(1-Assumptions!B$33)+O5,0)</f>
        <v/>
      </c>
      <c r="P6" s="15">
        <f>ROUND(O6*(1-Assumptions!B$33)+P5,0)</f>
        <v/>
      </c>
      <c r="Q6" s="15">
        <f>ROUND(P6*(1-Assumptions!B$33)+Q5,0)</f>
        <v/>
      </c>
      <c r="R6" s="15">
        <f>ROUND(Q6*(1-Assumptions!B$33)+R5,0)</f>
        <v/>
      </c>
      <c r="S6" s="15">
        <f>ROUND(R6*(1-Assumptions!B$33)+S5,0)</f>
        <v/>
      </c>
      <c r="T6" s="15">
        <f>ROUND(S6*(1-Assumptions!B$33)+T5,0)</f>
        <v/>
      </c>
      <c r="U6" s="15">
        <f>ROUND(T6*(1-Assumptions!B$33)+U5,0)</f>
        <v/>
      </c>
      <c r="V6" s="15">
        <f>ROUND(U6*(1-Assumptions!B$33)+V5,0)</f>
        <v/>
      </c>
      <c r="W6" s="15">
        <f>ROUND(V6*(1-Assumptions!B$33)+W5,0)</f>
        <v/>
      </c>
      <c r="X6" s="15">
        <f>ROUND(W6*(1-Assumptions!B$33)+X5,0)</f>
        <v/>
      </c>
      <c r="Y6" s="15">
        <f>ROUND(X6*(1-Assumptions!B$33)+Y5,0)</f>
        <v/>
      </c>
      <c r="Z6" s="15">
        <f>ROUND(Y6*(1-Assumptions!B$33)+Z5,0)</f>
        <v/>
      </c>
      <c r="AA6" s="15">
        <f>ROUND(Z6*(1-Assumptions!B$33)+AA5,0)</f>
        <v/>
      </c>
      <c r="AB6" s="15">
        <f>ROUND(AA6*(1-Assumptions!B$33)+AB5,0)</f>
        <v/>
      </c>
      <c r="AC6" s="15">
        <f>ROUND(AB6*(1-Assumptions!B$33)+AC5,0)</f>
        <v/>
      </c>
      <c r="AD6" s="15">
        <f>ROUND(AC6*(1-Assumptions!B$33)+AD5,0)</f>
        <v/>
      </c>
      <c r="AE6" s="15">
        <f>ROUND(AD6*(1-Assumptions!B$33)+AE5,0)</f>
        <v/>
      </c>
      <c r="AF6" s="15">
        <f>ROUND(AE6*(1-Assumptions!B$33)+AF5,0)</f>
        <v/>
      </c>
      <c r="AG6" s="15">
        <f>ROUND(AF6*(1-Assumptions!B$33)+AG5,0)</f>
        <v/>
      </c>
      <c r="AH6" s="15">
        <f>ROUND(AG6*(1-Assumptions!B$33)+AH5,0)</f>
        <v/>
      </c>
      <c r="AI6" s="15">
        <f>ROUND(AH6*(1-Assumptions!B$33)+AI5,0)</f>
        <v/>
      </c>
      <c r="AJ6" s="15">
        <f>ROUND(AI6*(1-Assumptions!B$33)+AJ5,0)</f>
        <v/>
      </c>
      <c r="AK6" s="15">
        <f>ROUND(AJ6*(1-Assumptions!B$33)+AK5,0)</f>
        <v/>
      </c>
      <c r="AL6" s="15">
        <f>M6</f>
        <v/>
      </c>
      <c r="AM6" s="15">
        <f>Y6</f>
        <v/>
      </c>
      <c r="AN6" s="15">
        <f>AK6</f>
        <v/>
      </c>
    </row>
    <row r="7">
      <c r="A7" s="10" t="inlineStr">
        <is>
          <t>Enterprise pilots active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1</v>
      </c>
      <c r="H7" s="15" t="n">
        <v>1</v>
      </c>
      <c r="I7" s="15" t="n">
        <v>1</v>
      </c>
      <c r="J7" s="15" t="n">
        <v>1</v>
      </c>
      <c r="K7" s="15" t="n">
        <v>2</v>
      </c>
      <c r="L7" s="15" t="n">
        <v>2</v>
      </c>
      <c r="M7" s="15" t="n">
        <v>2</v>
      </c>
      <c r="N7" s="15" t="n">
        <v>2</v>
      </c>
      <c r="O7" s="15" t="n">
        <v>2</v>
      </c>
      <c r="P7" s="15" t="n">
        <v>2</v>
      </c>
      <c r="Q7" s="15" t="n">
        <v>4</v>
      </c>
      <c r="R7" s="15" t="n">
        <v>4</v>
      </c>
      <c r="S7" s="15" t="n">
        <v>4</v>
      </c>
      <c r="T7" s="15" t="n">
        <v>4</v>
      </c>
      <c r="U7" s="15" t="n">
        <v>4</v>
      </c>
      <c r="V7" s="15" t="n">
        <v>4</v>
      </c>
      <c r="W7" s="15" t="n">
        <v>4</v>
      </c>
      <c r="X7" s="15" t="n">
        <v>4</v>
      </c>
      <c r="Y7" s="15" t="n">
        <v>6</v>
      </c>
      <c r="Z7" s="15" t="n">
        <v>6</v>
      </c>
      <c r="AA7" s="15" t="n">
        <v>6</v>
      </c>
      <c r="AB7" s="15" t="n">
        <v>6</v>
      </c>
      <c r="AC7" s="15" t="n">
        <v>6</v>
      </c>
      <c r="AD7" s="15" t="n">
        <v>6</v>
      </c>
      <c r="AE7" s="15" t="n">
        <v>6</v>
      </c>
      <c r="AF7" s="15" t="n">
        <v>6</v>
      </c>
      <c r="AG7" s="15" t="n">
        <v>6</v>
      </c>
      <c r="AH7" s="15" t="n">
        <v>6</v>
      </c>
      <c r="AI7" s="15" t="n">
        <v>6</v>
      </c>
      <c r="AJ7" s="15" t="n">
        <v>6</v>
      </c>
      <c r="AK7" s="15" t="n">
        <v>6</v>
      </c>
      <c r="AL7" s="15">
        <f>M7</f>
        <v/>
      </c>
      <c r="AM7" s="15">
        <f>Y7</f>
        <v/>
      </c>
      <c r="AN7" s="15">
        <f>AK7</f>
        <v/>
      </c>
    </row>
    <row r="8">
      <c r="A8" s="10" t="inlineStr">
        <is>
          <t>MRR — self-serve (€)</t>
        </is>
      </c>
      <c r="B8" s="16">
        <f>B6*Assumptions!B$28</f>
        <v/>
      </c>
      <c r="C8" s="16">
        <f>C6*Assumptions!B$28</f>
        <v/>
      </c>
      <c r="D8" s="16">
        <f>D6*Assumptions!B$28</f>
        <v/>
      </c>
      <c r="E8" s="16">
        <f>E6*Assumptions!B$28</f>
        <v/>
      </c>
      <c r="F8" s="16">
        <f>F6*Assumptions!B$28</f>
        <v/>
      </c>
      <c r="G8" s="16">
        <f>G6*Assumptions!B$28</f>
        <v/>
      </c>
      <c r="H8" s="16">
        <f>H6*Assumptions!B$28</f>
        <v/>
      </c>
      <c r="I8" s="16">
        <f>I6*Assumptions!B$28</f>
        <v/>
      </c>
      <c r="J8" s="16">
        <f>J6*Assumptions!B$28</f>
        <v/>
      </c>
      <c r="K8" s="16">
        <f>K6*Assumptions!B$28</f>
        <v/>
      </c>
      <c r="L8" s="16">
        <f>L6*Assumptions!B$28</f>
        <v/>
      </c>
      <c r="M8" s="16">
        <f>M6*Assumptions!B$28</f>
        <v/>
      </c>
      <c r="N8" s="16">
        <f>N6*Assumptions!B$28</f>
        <v/>
      </c>
      <c r="O8" s="16">
        <f>O6*Assumptions!B$28</f>
        <v/>
      </c>
      <c r="P8" s="16">
        <f>P6*Assumptions!B$28</f>
        <v/>
      </c>
      <c r="Q8" s="16">
        <f>Q6*Assumptions!B$28</f>
        <v/>
      </c>
      <c r="R8" s="16">
        <f>R6*Assumptions!B$28</f>
        <v/>
      </c>
      <c r="S8" s="16">
        <f>S6*Assumptions!B$28</f>
        <v/>
      </c>
      <c r="T8" s="16">
        <f>T6*Assumptions!B$28</f>
        <v/>
      </c>
      <c r="U8" s="16">
        <f>U6*Assumptions!B$28</f>
        <v/>
      </c>
      <c r="V8" s="16">
        <f>V6*Assumptions!B$28</f>
        <v/>
      </c>
      <c r="W8" s="16">
        <f>W6*Assumptions!B$28</f>
        <v/>
      </c>
      <c r="X8" s="16">
        <f>X6*Assumptions!B$28</f>
        <v/>
      </c>
      <c r="Y8" s="16">
        <f>Y6*Assumptions!B$28</f>
        <v/>
      </c>
      <c r="Z8" s="16">
        <f>Z6*Assumptions!B$28</f>
        <v/>
      </c>
      <c r="AA8" s="16">
        <f>AA6*Assumptions!B$28</f>
        <v/>
      </c>
      <c r="AB8" s="16">
        <f>AB6*Assumptions!B$28</f>
        <v/>
      </c>
      <c r="AC8" s="16">
        <f>AC6*Assumptions!B$28</f>
        <v/>
      </c>
      <c r="AD8" s="16">
        <f>AD6*Assumptions!B$28</f>
        <v/>
      </c>
      <c r="AE8" s="16">
        <f>AE6*Assumptions!B$28</f>
        <v/>
      </c>
      <c r="AF8" s="16">
        <f>AF6*Assumptions!B$28</f>
        <v/>
      </c>
      <c r="AG8" s="16">
        <f>AG6*Assumptions!B$28</f>
        <v/>
      </c>
      <c r="AH8" s="16">
        <f>AH6*Assumptions!B$28</f>
        <v/>
      </c>
      <c r="AI8" s="16">
        <f>AI6*Assumptions!B$28</f>
        <v/>
      </c>
      <c r="AJ8" s="16">
        <f>AJ6*Assumptions!B$28</f>
        <v/>
      </c>
      <c r="AK8" s="16">
        <f>AK6*Assumptions!B$28</f>
        <v/>
      </c>
      <c r="AL8" s="16">
        <f>SUM(B8:M8)</f>
        <v/>
      </c>
      <c r="AM8" s="16">
        <f>SUM(N8:Y8)</f>
        <v/>
      </c>
      <c r="AN8" s="16">
        <f>SUM(Z8:AK8)</f>
        <v/>
      </c>
    </row>
    <row r="9">
      <c r="A9" s="10" t="inlineStr">
        <is>
          <t>MRR — enterprise (€)</t>
        </is>
      </c>
      <c r="B9" s="16">
        <f>B7*Assumptions!B$22/12</f>
        <v/>
      </c>
      <c r="C9" s="16">
        <f>C7*Assumptions!B$22/12</f>
        <v/>
      </c>
      <c r="D9" s="16">
        <f>D7*Assumptions!B$22/12</f>
        <v/>
      </c>
      <c r="E9" s="16">
        <f>E7*Assumptions!B$22/12</f>
        <v/>
      </c>
      <c r="F9" s="16">
        <f>F7*Assumptions!B$22/12</f>
        <v/>
      </c>
      <c r="G9" s="16">
        <f>G7*Assumptions!B$22/12</f>
        <v/>
      </c>
      <c r="H9" s="16">
        <f>H7*Assumptions!B$22/12</f>
        <v/>
      </c>
      <c r="I9" s="16">
        <f>I7*Assumptions!B$22/12</f>
        <v/>
      </c>
      <c r="J9" s="16">
        <f>J7*Assumptions!B$22/12</f>
        <v/>
      </c>
      <c r="K9" s="16">
        <f>K7*Assumptions!B$22/12</f>
        <v/>
      </c>
      <c r="L9" s="16">
        <f>L7*Assumptions!B$22/12</f>
        <v/>
      </c>
      <c r="M9" s="16">
        <f>M7*Assumptions!B$22/12</f>
        <v/>
      </c>
      <c r="N9" s="16">
        <f>N7*Assumptions!B$22/12</f>
        <v/>
      </c>
      <c r="O9" s="16">
        <f>O7*Assumptions!B$22/12</f>
        <v/>
      </c>
      <c r="P9" s="16">
        <f>P7*Assumptions!B$22/12</f>
        <v/>
      </c>
      <c r="Q9" s="16">
        <f>Q7*Assumptions!B$22/12</f>
        <v/>
      </c>
      <c r="R9" s="16">
        <f>R7*Assumptions!B$22/12</f>
        <v/>
      </c>
      <c r="S9" s="16">
        <f>S7*Assumptions!B$22/12</f>
        <v/>
      </c>
      <c r="T9" s="16">
        <f>T7*Assumptions!B$22/12</f>
        <v/>
      </c>
      <c r="U9" s="16">
        <f>U7*Assumptions!B$22/12</f>
        <v/>
      </c>
      <c r="V9" s="16">
        <f>V7*Assumptions!B$22/12</f>
        <v/>
      </c>
      <c r="W9" s="16">
        <f>W7*Assumptions!B$22/12</f>
        <v/>
      </c>
      <c r="X9" s="16">
        <f>X7*Assumptions!B$22/12</f>
        <v/>
      </c>
      <c r="Y9" s="16">
        <f>Y7*Assumptions!B$22/12</f>
        <v/>
      </c>
      <c r="Z9" s="16">
        <f>Z7*Assumptions!B$22/12</f>
        <v/>
      </c>
      <c r="AA9" s="16">
        <f>AA7*Assumptions!B$22/12</f>
        <v/>
      </c>
      <c r="AB9" s="16">
        <f>AB7*Assumptions!B$22/12</f>
        <v/>
      </c>
      <c r="AC9" s="16">
        <f>AC7*Assumptions!B$22/12</f>
        <v/>
      </c>
      <c r="AD9" s="16">
        <f>AD7*Assumptions!B$22/12</f>
        <v/>
      </c>
      <c r="AE9" s="16">
        <f>AE7*Assumptions!B$22/12</f>
        <v/>
      </c>
      <c r="AF9" s="16">
        <f>AF7*Assumptions!B$22/12</f>
        <v/>
      </c>
      <c r="AG9" s="16">
        <f>AG7*Assumptions!B$22/12</f>
        <v/>
      </c>
      <c r="AH9" s="16">
        <f>AH7*Assumptions!B$22/12</f>
        <v/>
      </c>
      <c r="AI9" s="16">
        <f>AI7*Assumptions!B$22/12</f>
        <v/>
      </c>
      <c r="AJ9" s="16">
        <f>AJ7*Assumptions!B$22/12</f>
        <v/>
      </c>
      <c r="AK9" s="16">
        <f>AK7*Assumptions!B$22/12</f>
        <v/>
      </c>
      <c r="AL9" s="16">
        <f>SUM(B9:M9)</f>
        <v/>
      </c>
      <c r="AM9" s="16">
        <f>SUM(N9:Y9)</f>
        <v/>
      </c>
      <c r="AN9" s="16">
        <f>SUM(Z9:AK9)</f>
        <v/>
      </c>
    </row>
    <row r="10">
      <c r="A10" s="17" t="inlineStr">
        <is>
          <t>Total MRR (€)</t>
        </is>
      </c>
      <c r="B10" s="18">
        <f>B8+B9</f>
        <v/>
      </c>
      <c r="C10" s="18">
        <f>C8+C9</f>
        <v/>
      </c>
      <c r="D10" s="18">
        <f>D8+D9</f>
        <v/>
      </c>
      <c r="E10" s="18">
        <f>E8+E9</f>
        <v/>
      </c>
      <c r="F10" s="18">
        <f>F8+F9</f>
        <v/>
      </c>
      <c r="G10" s="18">
        <f>G8+G9</f>
        <v/>
      </c>
      <c r="H10" s="18">
        <f>H8+H9</f>
        <v/>
      </c>
      <c r="I10" s="18">
        <f>I8+I9</f>
        <v/>
      </c>
      <c r="J10" s="18">
        <f>J8+J9</f>
        <v/>
      </c>
      <c r="K10" s="18">
        <f>K8+K9</f>
        <v/>
      </c>
      <c r="L10" s="18">
        <f>L8+L9</f>
        <v/>
      </c>
      <c r="M10" s="18">
        <f>M8+M9</f>
        <v/>
      </c>
      <c r="N10" s="18">
        <f>N8+N9</f>
        <v/>
      </c>
      <c r="O10" s="18">
        <f>O8+O9</f>
        <v/>
      </c>
      <c r="P10" s="18">
        <f>P8+P9</f>
        <v/>
      </c>
      <c r="Q10" s="18">
        <f>Q8+Q9</f>
        <v/>
      </c>
      <c r="R10" s="18">
        <f>R8+R9</f>
        <v/>
      </c>
      <c r="S10" s="18">
        <f>S8+S9</f>
        <v/>
      </c>
      <c r="T10" s="18">
        <f>T8+T9</f>
        <v/>
      </c>
      <c r="U10" s="18">
        <f>U8+U9</f>
        <v/>
      </c>
      <c r="V10" s="18">
        <f>V8+V9</f>
        <v/>
      </c>
      <c r="W10" s="18">
        <f>W8+W9</f>
        <v/>
      </c>
      <c r="X10" s="18">
        <f>X8+X9</f>
        <v/>
      </c>
      <c r="Y10" s="18">
        <f>Y8+Y9</f>
        <v/>
      </c>
      <c r="Z10" s="18">
        <f>Z8+Z9</f>
        <v/>
      </c>
      <c r="AA10" s="18">
        <f>AA8+AA9</f>
        <v/>
      </c>
      <c r="AB10" s="18">
        <f>AB8+AB9</f>
        <v/>
      </c>
      <c r="AC10" s="18">
        <f>AC8+AC9</f>
        <v/>
      </c>
      <c r="AD10" s="18">
        <f>AD8+AD9</f>
        <v/>
      </c>
      <c r="AE10" s="18">
        <f>AE8+AE9</f>
        <v/>
      </c>
      <c r="AF10" s="18">
        <f>AF8+AF9</f>
        <v/>
      </c>
      <c r="AG10" s="18">
        <f>AG8+AG9</f>
        <v/>
      </c>
      <c r="AH10" s="18">
        <f>AH8+AH9</f>
        <v/>
      </c>
      <c r="AI10" s="18">
        <f>AI8+AI9</f>
        <v/>
      </c>
      <c r="AJ10" s="18">
        <f>AJ8+AJ9</f>
        <v/>
      </c>
      <c r="AK10" s="18">
        <f>AK8+AK9</f>
        <v/>
      </c>
      <c r="AL10" s="18">
        <f>M10</f>
        <v/>
      </c>
      <c r="AM10" s="18">
        <f>Y10</f>
        <v/>
      </c>
      <c r="AN10" s="18">
        <f>AK10</f>
        <v/>
      </c>
    </row>
    <row r="11">
      <c r="A11" s="17" t="inlineStr">
        <is>
          <t>Total ARR (€)</t>
        </is>
      </c>
      <c r="B11" s="18">
        <f>B10*12</f>
        <v/>
      </c>
      <c r="C11" s="18">
        <f>C10*12</f>
        <v/>
      </c>
      <c r="D11" s="18">
        <f>D10*12</f>
        <v/>
      </c>
      <c r="E11" s="18">
        <f>E10*12</f>
        <v/>
      </c>
      <c r="F11" s="18">
        <f>F10*12</f>
        <v/>
      </c>
      <c r="G11" s="18">
        <f>G10*12</f>
        <v/>
      </c>
      <c r="H11" s="18">
        <f>H10*12</f>
        <v/>
      </c>
      <c r="I11" s="18">
        <f>I10*12</f>
        <v/>
      </c>
      <c r="J11" s="18">
        <f>J10*12</f>
        <v/>
      </c>
      <c r="K11" s="18">
        <f>K10*12</f>
        <v/>
      </c>
      <c r="L11" s="18">
        <f>L10*12</f>
        <v/>
      </c>
      <c r="M11" s="18">
        <f>M10*12</f>
        <v/>
      </c>
      <c r="N11" s="18">
        <f>N10*12</f>
        <v/>
      </c>
      <c r="O11" s="18">
        <f>O10*12</f>
        <v/>
      </c>
      <c r="P11" s="18">
        <f>P10*12</f>
        <v/>
      </c>
      <c r="Q11" s="18">
        <f>Q10*12</f>
        <v/>
      </c>
      <c r="R11" s="18">
        <f>R10*12</f>
        <v/>
      </c>
      <c r="S11" s="18">
        <f>S10*12</f>
        <v/>
      </c>
      <c r="T11" s="18">
        <f>T10*12</f>
        <v/>
      </c>
      <c r="U11" s="18">
        <f>U10*12</f>
        <v/>
      </c>
      <c r="V11" s="18">
        <f>V10*12</f>
        <v/>
      </c>
      <c r="W11" s="18">
        <f>W10*12</f>
        <v/>
      </c>
      <c r="X11" s="18">
        <f>X10*12</f>
        <v/>
      </c>
      <c r="Y11" s="18">
        <f>Y10*12</f>
        <v/>
      </c>
      <c r="Z11" s="18">
        <f>Z10*12</f>
        <v/>
      </c>
      <c r="AA11" s="18">
        <f>AA10*12</f>
        <v/>
      </c>
      <c r="AB11" s="18">
        <f>AB10*12</f>
        <v/>
      </c>
      <c r="AC11" s="18">
        <f>AC10*12</f>
        <v/>
      </c>
      <c r="AD11" s="18">
        <f>AD10*12</f>
        <v/>
      </c>
      <c r="AE11" s="18">
        <f>AE10*12</f>
        <v/>
      </c>
      <c r="AF11" s="18">
        <f>AF10*12</f>
        <v/>
      </c>
      <c r="AG11" s="18">
        <f>AG10*12</f>
        <v/>
      </c>
      <c r="AH11" s="18">
        <f>AH10*12</f>
        <v/>
      </c>
      <c r="AI11" s="18">
        <f>AI10*12</f>
        <v/>
      </c>
      <c r="AJ11" s="18">
        <f>AJ10*12</f>
        <v/>
      </c>
      <c r="AK11" s="18">
        <f>AK10*12</f>
        <v/>
      </c>
      <c r="AL11" s="18">
        <f>M11</f>
        <v/>
      </c>
      <c r="AM11" s="18">
        <f>Y11</f>
        <v/>
      </c>
      <c r="AN11" s="18">
        <f>AK11</f>
        <v/>
      </c>
    </row>
    <row r="12">
      <c r="A12" s="10" t="inlineStr">
        <is>
          <t>Agency audit revenue (€)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>
        <f>Assumptions!B34*Assumptions!B21</f>
        <v/>
      </c>
      <c r="H12" s="16">
        <f>Assumptions!B34*Assumptions!B21</f>
        <v/>
      </c>
      <c r="I12" s="16">
        <f>Assumptions!B34*Assumptions!B21</f>
        <v/>
      </c>
      <c r="J12" s="16">
        <f>Assumptions!B34*Assumptions!B21</f>
        <v/>
      </c>
      <c r="K12" s="16">
        <f>Assumptions!B34*Assumptions!B21</f>
        <v/>
      </c>
      <c r="L12" s="16">
        <f>Assumptions!B34*Assumptions!B21</f>
        <v/>
      </c>
      <c r="M12" s="16">
        <f>Assumptions!B34*Assumptions!B21</f>
        <v/>
      </c>
      <c r="N12" s="16">
        <f>Assumptions!B34*Assumptions!B21</f>
        <v/>
      </c>
      <c r="O12" s="16">
        <f>Assumptions!B34*Assumptions!B21</f>
        <v/>
      </c>
      <c r="P12" s="16">
        <f>Assumptions!B34*Assumptions!B21</f>
        <v/>
      </c>
      <c r="Q12" s="16">
        <f>Assumptions!B34*Assumptions!B21</f>
        <v/>
      </c>
      <c r="R12" s="16">
        <f>Assumptions!B34*Assumptions!B21</f>
        <v/>
      </c>
      <c r="S12" s="16">
        <f>Assumptions!B34*Assumptions!B21</f>
        <v/>
      </c>
      <c r="T12" s="16">
        <f>Assumptions!B34*Assumptions!B21</f>
        <v/>
      </c>
      <c r="U12" s="16">
        <f>Assumptions!B34*Assumptions!B21</f>
        <v/>
      </c>
      <c r="V12" s="16">
        <f>Assumptions!B34*Assumptions!B21</f>
        <v/>
      </c>
      <c r="W12" s="16">
        <f>Assumptions!B34*Assumptions!B21</f>
        <v/>
      </c>
      <c r="X12" s="16">
        <f>Assumptions!B34*Assumptions!B21</f>
        <v/>
      </c>
      <c r="Y12" s="16">
        <f>Assumptions!B34*Assumptions!B21</f>
        <v/>
      </c>
      <c r="Z12" s="16">
        <f>Assumptions!B34*Assumptions!B21</f>
        <v/>
      </c>
      <c r="AA12" s="16">
        <f>Assumptions!B34*Assumptions!B21</f>
        <v/>
      </c>
      <c r="AB12" s="16">
        <f>Assumptions!B34*Assumptions!B21</f>
        <v/>
      </c>
      <c r="AC12" s="16">
        <f>Assumptions!B34*Assumptions!B21</f>
        <v/>
      </c>
      <c r="AD12" s="16">
        <f>Assumptions!B34*Assumptions!B21</f>
        <v/>
      </c>
      <c r="AE12" s="16">
        <f>Assumptions!B34*Assumptions!B21</f>
        <v/>
      </c>
      <c r="AF12" s="16">
        <f>Assumptions!B34*Assumptions!B21</f>
        <v/>
      </c>
      <c r="AG12" s="16">
        <f>Assumptions!B34*Assumptions!B21</f>
        <v/>
      </c>
      <c r="AH12" s="16">
        <f>Assumptions!B34*Assumptions!B21</f>
        <v/>
      </c>
      <c r="AI12" s="16">
        <f>Assumptions!B34*Assumptions!B21</f>
        <v/>
      </c>
      <c r="AJ12" s="16">
        <f>Assumptions!B34*Assumptions!B21</f>
        <v/>
      </c>
      <c r="AK12" s="16">
        <f>Assumptions!B34*Assumptions!B21</f>
        <v/>
      </c>
      <c r="AL12" s="16">
        <f>SUM(B12:M12)</f>
        <v/>
      </c>
      <c r="AM12" s="16">
        <f>SUM(N12:Y12)</f>
        <v/>
      </c>
      <c r="AN12" s="16">
        <f>SUM(Z12:AK12)</f>
        <v/>
      </c>
    </row>
    <row r="13">
      <c r="A13" s="17" t="inlineStr">
        <is>
          <t>Total monthly revenue (€)</t>
        </is>
      </c>
      <c r="B13" s="18">
        <f>B10+B12</f>
        <v/>
      </c>
      <c r="C13" s="18">
        <f>C10+C12</f>
        <v/>
      </c>
      <c r="D13" s="18">
        <f>D10+D12</f>
        <v/>
      </c>
      <c r="E13" s="18">
        <f>E10+E12</f>
        <v/>
      </c>
      <c r="F13" s="18">
        <f>F10+F12</f>
        <v/>
      </c>
      <c r="G13" s="18">
        <f>G10+G12</f>
        <v/>
      </c>
      <c r="H13" s="18">
        <f>H10+H12</f>
        <v/>
      </c>
      <c r="I13" s="18">
        <f>I10+I12</f>
        <v/>
      </c>
      <c r="J13" s="18">
        <f>J10+J12</f>
        <v/>
      </c>
      <c r="K13" s="18">
        <f>K10+K12</f>
        <v/>
      </c>
      <c r="L13" s="18">
        <f>L10+L12</f>
        <v/>
      </c>
      <c r="M13" s="18">
        <f>M10+M12</f>
        <v/>
      </c>
      <c r="N13" s="18">
        <f>N10+N12</f>
        <v/>
      </c>
      <c r="O13" s="18">
        <f>O10+O12</f>
        <v/>
      </c>
      <c r="P13" s="18">
        <f>P10+P12</f>
        <v/>
      </c>
      <c r="Q13" s="18">
        <f>Q10+Q12</f>
        <v/>
      </c>
      <c r="R13" s="18">
        <f>R10+R12</f>
        <v/>
      </c>
      <c r="S13" s="18">
        <f>S10+S12</f>
        <v/>
      </c>
      <c r="T13" s="18">
        <f>T10+T12</f>
        <v/>
      </c>
      <c r="U13" s="18">
        <f>U10+U12</f>
        <v/>
      </c>
      <c r="V13" s="18">
        <f>V10+V12</f>
        <v/>
      </c>
      <c r="W13" s="18">
        <f>W10+W12</f>
        <v/>
      </c>
      <c r="X13" s="18">
        <f>X10+X12</f>
        <v/>
      </c>
      <c r="Y13" s="18">
        <f>Y10+Y12</f>
        <v/>
      </c>
      <c r="Z13" s="18">
        <f>Z10+Z12</f>
        <v/>
      </c>
      <c r="AA13" s="18">
        <f>AA10+AA12</f>
        <v/>
      </c>
      <c r="AB13" s="18">
        <f>AB10+AB12</f>
        <v/>
      </c>
      <c r="AC13" s="18">
        <f>AC10+AC12</f>
        <v/>
      </c>
      <c r="AD13" s="18">
        <f>AD10+AD12</f>
        <v/>
      </c>
      <c r="AE13" s="18">
        <f>AE10+AE12</f>
        <v/>
      </c>
      <c r="AF13" s="18">
        <f>AF10+AF12</f>
        <v/>
      </c>
      <c r="AG13" s="18">
        <f>AG10+AG12</f>
        <v/>
      </c>
      <c r="AH13" s="18">
        <f>AH10+AH12</f>
        <v/>
      </c>
      <c r="AI13" s="18">
        <f>AI10+AI12</f>
        <v/>
      </c>
      <c r="AJ13" s="18">
        <f>AJ10+AJ12</f>
        <v/>
      </c>
      <c r="AK13" s="18">
        <f>AK10+AK12</f>
        <v/>
      </c>
      <c r="AL13" s="18">
        <f>SUM(B13:M13)</f>
        <v/>
      </c>
      <c r="AM13" s="18">
        <f>SUM(N13:Y13)</f>
        <v/>
      </c>
      <c r="AN13" s="18">
        <f>SUM(Z13:AK13)</f>
        <v/>
      </c>
    </row>
    <row r="15">
      <c r="A15" s="3" t="inlineStr">
        <is>
          <t>COSTS</t>
        </is>
      </c>
    </row>
    <row r="16">
      <c r="A16" s="10" t="inlineStr">
        <is>
          <t>Founder salaries (3 × €/mo, from M3)</t>
        </is>
      </c>
      <c r="B16" s="16" t="n">
        <v>0</v>
      </c>
      <c r="C16" s="16" t="n">
        <v>0</v>
      </c>
      <c r="D16" s="16">
        <f>3*Assumptions!B$38</f>
        <v/>
      </c>
      <c r="E16" s="16">
        <f>3*Assumptions!B$38</f>
        <v/>
      </c>
      <c r="F16" s="16">
        <f>3*Assumptions!B$38</f>
        <v/>
      </c>
      <c r="G16" s="16">
        <f>3*Assumptions!B$38</f>
        <v/>
      </c>
      <c r="H16" s="16">
        <f>3*Assumptions!B$38</f>
        <v/>
      </c>
      <c r="I16" s="16">
        <f>3*Assumptions!B$38</f>
        <v/>
      </c>
      <c r="J16" s="16">
        <f>3*Assumptions!B$38</f>
        <v/>
      </c>
      <c r="K16" s="16">
        <f>3*Assumptions!B$38</f>
        <v/>
      </c>
      <c r="L16" s="16">
        <f>3*Assumptions!B$38</f>
        <v/>
      </c>
      <c r="M16" s="16">
        <f>3*Assumptions!B$38</f>
        <v/>
      </c>
      <c r="N16" s="16">
        <f>3*Assumptions!B$38</f>
        <v/>
      </c>
      <c r="O16" s="16">
        <f>3*Assumptions!B$38</f>
        <v/>
      </c>
      <c r="P16" s="16">
        <f>3*Assumptions!B$38</f>
        <v/>
      </c>
      <c r="Q16" s="16">
        <f>3*Assumptions!B$38</f>
        <v/>
      </c>
      <c r="R16" s="16">
        <f>3*Assumptions!B$38</f>
        <v/>
      </c>
      <c r="S16" s="16">
        <f>3*Assumptions!B$38</f>
        <v/>
      </c>
      <c r="T16" s="16">
        <f>3*Assumptions!B$38</f>
        <v/>
      </c>
      <c r="U16" s="16">
        <f>3*Assumptions!B$38</f>
        <v/>
      </c>
      <c r="V16" s="16">
        <f>3*Assumptions!B$38</f>
        <v/>
      </c>
      <c r="W16" s="16">
        <f>3*Assumptions!B$38</f>
        <v/>
      </c>
      <c r="X16" s="16">
        <f>3*Assumptions!B$38</f>
        <v/>
      </c>
      <c r="Y16" s="16">
        <f>3*Assumptions!B$38</f>
        <v/>
      </c>
      <c r="Z16" s="16">
        <f>3*Assumptions!B$38</f>
        <v/>
      </c>
      <c r="AA16" s="16">
        <f>3*Assumptions!B$38</f>
        <v/>
      </c>
      <c r="AB16" s="16">
        <f>3*Assumptions!B$38</f>
        <v/>
      </c>
      <c r="AC16" s="16">
        <f>3*Assumptions!B$38</f>
        <v/>
      </c>
      <c r="AD16" s="16">
        <f>3*Assumptions!B$38</f>
        <v/>
      </c>
      <c r="AE16" s="16">
        <f>3*Assumptions!B$38</f>
        <v/>
      </c>
      <c r="AF16" s="16">
        <f>3*Assumptions!B$38</f>
        <v/>
      </c>
      <c r="AG16" s="16">
        <f>3*Assumptions!B$38</f>
        <v/>
      </c>
      <c r="AH16" s="16">
        <f>3*Assumptions!B$38</f>
        <v/>
      </c>
      <c r="AI16" s="16">
        <f>3*Assumptions!B$38</f>
        <v/>
      </c>
      <c r="AJ16" s="16">
        <f>3*Assumptions!B$38</f>
        <v/>
      </c>
      <c r="AK16" s="16">
        <f>3*Assumptions!B$38</f>
        <v/>
      </c>
      <c r="AL16" s="16">
        <f>SUM(B16:M16)</f>
        <v/>
      </c>
      <c r="AM16" s="16">
        <f>SUM(N16:Y16)</f>
        <v/>
      </c>
      <c r="AN16" s="16">
        <f>SUM(Z16:AK16)</f>
        <v/>
      </c>
    </row>
    <row r="17">
      <c r="A17" s="10" t="inlineStr">
        <is>
          <t>Engineer #1 (back-end, from M2)</t>
        </is>
      </c>
      <c r="B17" s="16">
        <f>IF(1&gt;=Assumptions!B$50,Assumptions!B$39,0)</f>
        <v/>
      </c>
      <c r="C17" s="16">
        <f>IF(2&gt;=Assumptions!B$50,Assumptions!B$39,0)</f>
        <v/>
      </c>
      <c r="D17" s="16">
        <f>IF(3&gt;=Assumptions!B$50,Assumptions!B$39,0)</f>
        <v/>
      </c>
      <c r="E17" s="16">
        <f>IF(4&gt;=Assumptions!B$50,Assumptions!B$39,0)</f>
        <v/>
      </c>
      <c r="F17" s="16">
        <f>IF(5&gt;=Assumptions!B$50,Assumptions!B$39,0)</f>
        <v/>
      </c>
      <c r="G17" s="16">
        <f>IF(6&gt;=Assumptions!B$50,Assumptions!B$39,0)</f>
        <v/>
      </c>
      <c r="H17" s="16">
        <f>IF(7&gt;=Assumptions!B$50,Assumptions!B$39,0)</f>
        <v/>
      </c>
      <c r="I17" s="16">
        <f>IF(8&gt;=Assumptions!B$50,Assumptions!B$39,0)</f>
        <v/>
      </c>
      <c r="J17" s="16">
        <f>IF(9&gt;=Assumptions!B$50,Assumptions!B$39,0)</f>
        <v/>
      </c>
      <c r="K17" s="16">
        <f>IF(10&gt;=Assumptions!B$50,Assumptions!B$39,0)</f>
        <v/>
      </c>
      <c r="L17" s="16">
        <f>IF(11&gt;=Assumptions!B$50,Assumptions!B$39,0)</f>
        <v/>
      </c>
      <c r="M17" s="16">
        <f>IF(12&gt;=Assumptions!B$50,Assumptions!B$39,0)</f>
        <v/>
      </c>
      <c r="N17" s="16">
        <f>IF(13&gt;=Assumptions!B$50,Assumptions!B$39,0)</f>
        <v/>
      </c>
      <c r="O17" s="16">
        <f>IF(14&gt;=Assumptions!B$50,Assumptions!B$39,0)</f>
        <v/>
      </c>
      <c r="P17" s="16">
        <f>IF(15&gt;=Assumptions!B$50,Assumptions!B$39,0)</f>
        <v/>
      </c>
      <c r="Q17" s="16">
        <f>IF(16&gt;=Assumptions!B$50,Assumptions!B$39,0)</f>
        <v/>
      </c>
      <c r="R17" s="16">
        <f>IF(17&gt;=Assumptions!B$50,Assumptions!B$39,0)</f>
        <v/>
      </c>
      <c r="S17" s="16">
        <f>IF(18&gt;=Assumptions!B$50,Assumptions!B$39,0)</f>
        <v/>
      </c>
      <c r="T17" s="16">
        <f>IF(19&gt;=Assumptions!B$50,Assumptions!B$39,0)</f>
        <v/>
      </c>
      <c r="U17" s="16">
        <f>IF(20&gt;=Assumptions!B$50,Assumptions!B$39,0)</f>
        <v/>
      </c>
      <c r="V17" s="16">
        <f>IF(21&gt;=Assumptions!B$50,Assumptions!B$39,0)</f>
        <v/>
      </c>
      <c r="W17" s="16">
        <f>IF(22&gt;=Assumptions!B$50,Assumptions!B$39,0)</f>
        <v/>
      </c>
      <c r="X17" s="16">
        <f>IF(23&gt;=Assumptions!B$50,Assumptions!B$39,0)</f>
        <v/>
      </c>
      <c r="Y17" s="16">
        <f>IF(24&gt;=Assumptions!B$50,Assumptions!B$39,0)</f>
        <v/>
      </c>
      <c r="Z17" s="16">
        <f>IF(25&gt;=Assumptions!B$50,Assumptions!B$39,0)</f>
        <v/>
      </c>
      <c r="AA17" s="16">
        <f>IF(26&gt;=Assumptions!B$50,Assumptions!B$39,0)</f>
        <v/>
      </c>
      <c r="AB17" s="16">
        <f>IF(27&gt;=Assumptions!B$50,Assumptions!B$39,0)</f>
        <v/>
      </c>
      <c r="AC17" s="16">
        <f>IF(28&gt;=Assumptions!B$50,Assumptions!B$39,0)</f>
        <v/>
      </c>
      <c r="AD17" s="16">
        <f>IF(29&gt;=Assumptions!B$50,Assumptions!B$39,0)</f>
        <v/>
      </c>
      <c r="AE17" s="16">
        <f>IF(30&gt;=Assumptions!B$50,Assumptions!B$39,0)</f>
        <v/>
      </c>
      <c r="AF17" s="16">
        <f>IF(31&gt;=Assumptions!B$50,Assumptions!B$39,0)</f>
        <v/>
      </c>
      <c r="AG17" s="16">
        <f>IF(32&gt;=Assumptions!B$50,Assumptions!B$39,0)</f>
        <v/>
      </c>
      <c r="AH17" s="16">
        <f>IF(33&gt;=Assumptions!B$50,Assumptions!B$39,0)</f>
        <v/>
      </c>
      <c r="AI17" s="16">
        <f>IF(34&gt;=Assumptions!B$50,Assumptions!B$39,0)</f>
        <v/>
      </c>
      <c r="AJ17" s="16">
        <f>IF(35&gt;=Assumptions!B$50,Assumptions!B$39,0)</f>
        <v/>
      </c>
      <c r="AK17" s="16">
        <f>IF(36&gt;=Assumptions!B$50,Assumptions!B$39,0)</f>
        <v/>
      </c>
      <c r="AL17" s="16">
        <f>SUM(B17:M17)</f>
        <v/>
      </c>
      <c r="AM17" s="16">
        <f>SUM(N17:Y17)</f>
        <v/>
      </c>
      <c r="AN17" s="16">
        <f>SUM(Z17:AK17)</f>
        <v/>
      </c>
    </row>
    <row r="18">
      <c r="A18" s="10" t="inlineStr">
        <is>
          <t>GTM/Sales Lead (from M3)</t>
        </is>
      </c>
      <c r="B18" s="16">
        <f>IF(1&gt;=Assumptions!B$51,Assumptions!B$40,0)</f>
        <v/>
      </c>
      <c r="C18" s="16">
        <f>IF(2&gt;=Assumptions!B$51,Assumptions!B$40,0)</f>
        <v/>
      </c>
      <c r="D18" s="16">
        <f>IF(3&gt;=Assumptions!B$51,Assumptions!B$40,0)</f>
        <v/>
      </c>
      <c r="E18" s="16">
        <f>IF(4&gt;=Assumptions!B$51,Assumptions!B$40,0)</f>
        <v/>
      </c>
      <c r="F18" s="16">
        <f>IF(5&gt;=Assumptions!B$51,Assumptions!B$40,0)</f>
        <v/>
      </c>
      <c r="G18" s="16">
        <f>IF(6&gt;=Assumptions!B$51,Assumptions!B$40,0)</f>
        <v/>
      </c>
      <c r="H18" s="16">
        <f>IF(7&gt;=Assumptions!B$51,Assumptions!B$40,0)</f>
        <v/>
      </c>
      <c r="I18" s="16">
        <f>IF(8&gt;=Assumptions!B$51,Assumptions!B$40,0)</f>
        <v/>
      </c>
      <c r="J18" s="16">
        <f>IF(9&gt;=Assumptions!B$51,Assumptions!B$40,0)</f>
        <v/>
      </c>
      <c r="K18" s="16">
        <f>IF(10&gt;=Assumptions!B$51,Assumptions!B$40,0)</f>
        <v/>
      </c>
      <c r="L18" s="16">
        <f>IF(11&gt;=Assumptions!B$51,Assumptions!B$40,0)</f>
        <v/>
      </c>
      <c r="M18" s="16">
        <f>IF(12&gt;=Assumptions!B$51,Assumptions!B$40,0)</f>
        <v/>
      </c>
      <c r="N18" s="16">
        <f>IF(13&gt;=Assumptions!B$51,Assumptions!B$40,0)</f>
        <v/>
      </c>
      <c r="O18" s="16">
        <f>IF(14&gt;=Assumptions!B$51,Assumptions!B$40,0)</f>
        <v/>
      </c>
      <c r="P18" s="16">
        <f>IF(15&gt;=Assumptions!B$51,Assumptions!B$40,0)</f>
        <v/>
      </c>
      <c r="Q18" s="16">
        <f>IF(16&gt;=Assumptions!B$51,Assumptions!B$40,0)</f>
        <v/>
      </c>
      <c r="R18" s="16">
        <f>IF(17&gt;=Assumptions!B$51,Assumptions!B$40,0)</f>
        <v/>
      </c>
      <c r="S18" s="16">
        <f>IF(18&gt;=Assumptions!B$51,Assumptions!B$40,0)</f>
        <v/>
      </c>
      <c r="T18" s="16">
        <f>IF(19&gt;=Assumptions!B$51,Assumptions!B$40,0)</f>
        <v/>
      </c>
      <c r="U18" s="16">
        <f>IF(20&gt;=Assumptions!B$51,Assumptions!B$40,0)</f>
        <v/>
      </c>
      <c r="V18" s="16">
        <f>IF(21&gt;=Assumptions!B$51,Assumptions!B$40,0)</f>
        <v/>
      </c>
      <c r="W18" s="16">
        <f>IF(22&gt;=Assumptions!B$51,Assumptions!B$40,0)</f>
        <v/>
      </c>
      <c r="X18" s="16">
        <f>IF(23&gt;=Assumptions!B$51,Assumptions!B$40,0)</f>
        <v/>
      </c>
      <c r="Y18" s="16">
        <f>IF(24&gt;=Assumptions!B$51,Assumptions!B$40,0)</f>
        <v/>
      </c>
      <c r="Z18" s="16">
        <f>IF(25&gt;=Assumptions!B$51,Assumptions!B$40,0)</f>
        <v/>
      </c>
      <c r="AA18" s="16">
        <f>IF(26&gt;=Assumptions!B$51,Assumptions!B$40,0)</f>
        <v/>
      </c>
      <c r="AB18" s="16">
        <f>IF(27&gt;=Assumptions!B$51,Assumptions!B$40,0)</f>
        <v/>
      </c>
      <c r="AC18" s="16">
        <f>IF(28&gt;=Assumptions!B$51,Assumptions!B$40,0)</f>
        <v/>
      </c>
      <c r="AD18" s="16">
        <f>IF(29&gt;=Assumptions!B$51,Assumptions!B$40,0)</f>
        <v/>
      </c>
      <c r="AE18" s="16">
        <f>IF(30&gt;=Assumptions!B$51,Assumptions!B$40,0)</f>
        <v/>
      </c>
      <c r="AF18" s="16">
        <f>IF(31&gt;=Assumptions!B$51,Assumptions!B$40,0)</f>
        <v/>
      </c>
      <c r="AG18" s="16">
        <f>IF(32&gt;=Assumptions!B$51,Assumptions!B$40,0)</f>
        <v/>
      </c>
      <c r="AH18" s="16">
        <f>IF(33&gt;=Assumptions!B$51,Assumptions!B$40,0)</f>
        <v/>
      </c>
      <c r="AI18" s="16">
        <f>IF(34&gt;=Assumptions!B$51,Assumptions!B$40,0)</f>
        <v/>
      </c>
      <c r="AJ18" s="16">
        <f>IF(35&gt;=Assumptions!B$51,Assumptions!B$40,0)</f>
        <v/>
      </c>
      <c r="AK18" s="16">
        <f>IF(36&gt;=Assumptions!B$51,Assumptions!B$40,0)</f>
        <v/>
      </c>
      <c r="AL18" s="16">
        <f>SUM(B18:M18)</f>
        <v/>
      </c>
      <c r="AM18" s="16">
        <f>SUM(N18:Y18)</f>
        <v/>
      </c>
      <c r="AN18" s="16">
        <f>SUM(Z18:AK18)</f>
        <v/>
      </c>
    </row>
    <row r="19">
      <c r="A19" s="10" t="inlineStr">
        <is>
          <t>Engineer #2 (from M6)</t>
        </is>
      </c>
      <c r="B19" s="16">
        <f>IF(1&gt;=Assumptions!B$52,Assumptions!B$39,0)</f>
        <v/>
      </c>
      <c r="C19" s="16">
        <f>IF(2&gt;=Assumptions!B$52,Assumptions!B$39,0)</f>
        <v/>
      </c>
      <c r="D19" s="16">
        <f>IF(3&gt;=Assumptions!B$52,Assumptions!B$39,0)</f>
        <v/>
      </c>
      <c r="E19" s="16">
        <f>IF(4&gt;=Assumptions!B$52,Assumptions!B$39,0)</f>
        <v/>
      </c>
      <c r="F19" s="16">
        <f>IF(5&gt;=Assumptions!B$52,Assumptions!B$39,0)</f>
        <v/>
      </c>
      <c r="G19" s="16">
        <f>IF(6&gt;=Assumptions!B$52,Assumptions!B$39,0)</f>
        <v/>
      </c>
      <c r="H19" s="16">
        <f>IF(7&gt;=Assumptions!B$52,Assumptions!B$39,0)</f>
        <v/>
      </c>
      <c r="I19" s="16">
        <f>IF(8&gt;=Assumptions!B$52,Assumptions!B$39,0)</f>
        <v/>
      </c>
      <c r="J19" s="16">
        <f>IF(9&gt;=Assumptions!B$52,Assumptions!B$39,0)</f>
        <v/>
      </c>
      <c r="K19" s="16">
        <f>IF(10&gt;=Assumptions!B$52,Assumptions!B$39,0)</f>
        <v/>
      </c>
      <c r="L19" s="16">
        <f>IF(11&gt;=Assumptions!B$52,Assumptions!B$39,0)</f>
        <v/>
      </c>
      <c r="M19" s="16">
        <f>IF(12&gt;=Assumptions!B$52,Assumptions!B$39,0)</f>
        <v/>
      </c>
      <c r="N19" s="16">
        <f>IF(13&gt;=Assumptions!B$52,Assumptions!B$39,0)</f>
        <v/>
      </c>
      <c r="O19" s="16">
        <f>IF(14&gt;=Assumptions!B$52,Assumptions!B$39,0)</f>
        <v/>
      </c>
      <c r="P19" s="16">
        <f>IF(15&gt;=Assumptions!B$52,Assumptions!B$39,0)</f>
        <v/>
      </c>
      <c r="Q19" s="16">
        <f>IF(16&gt;=Assumptions!B$52,Assumptions!B$39,0)</f>
        <v/>
      </c>
      <c r="R19" s="16">
        <f>IF(17&gt;=Assumptions!B$52,Assumptions!B$39,0)</f>
        <v/>
      </c>
      <c r="S19" s="16">
        <f>IF(18&gt;=Assumptions!B$52,Assumptions!B$39,0)</f>
        <v/>
      </c>
      <c r="T19" s="16">
        <f>IF(19&gt;=Assumptions!B$52,Assumptions!B$39,0)</f>
        <v/>
      </c>
      <c r="U19" s="16">
        <f>IF(20&gt;=Assumptions!B$52,Assumptions!B$39,0)</f>
        <v/>
      </c>
      <c r="V19" s="16">
        <f>IF(21&gt;=Assumptions!B$52,Assumptions!B$39,0)</f>
        <v/>
      </c>
      <c r="W19" s="16">
        <f>IF(22&gt;=Assumptions!B$52,Assumptions!B$39,0)</f>
        <v/>
      </c>
      <c r="X19" s="16">
        <f>IF(23&gt;=Assumptions!B$52,Assumptions!B$39,0)</f>
        <v/>
      </c>
      <c r="Y19" s="16">
        <f>IF(24&gt;=Assumptions!B$52,Assumptions!B$39,0)</f>
        <v/>
      </c>
      <c r="Z19" s="16">
        <f>IF(25&gt;=Assumptions!B$52,Assumptions!B$39,0)</f>
        <v/>
      </c>
      <c r="AA19" s="16">
        <f>IF(26&gt;=Assumptions!B$52,Assumptions!B$39,0)</f>
        <v/>
      </c>
      <c r="AB19" s="16">
        <f>IF(27&gt;=Assumptions!B$52,Assumptions!B$39,0)</f>
        <v/>
      </c>
      <c r="AC19" s="16">
        <f>IF(28&gt;=Assumptions!B$52,Assumptions!B$39,0)</f>
        <v/>
      </c>
      <c r="AD19" s="16">
        <f>IF(29&gt;=Assumptions!B$52,Assumptions!B$39,0)</f>
        <v/>
      </c>
      <c r="AE19" s="16">
        <f>IF(30&gt;=Assumptions!B$52,Assumptions!B$39,0)</f>
        <v/>
      </c>
      <c r="AF19" s="16">
        <f>IF(31&gt;=Assumptions!B$52,Assumptions!B$39,0)</f>
        <v/>
      </c>
      <c r="AG19" s="16">
        <f>IF(32&gt;=Assumptions!B$52,Assumptions!B$39,0)</f>
        <v/>
      </c>
      <c r="AH19" s="16">
        <f>IF(33&gt;=Assumptions!B$52,Assumptions!B$39,0)</f>
        <v/>
      </c>
      <c r="AI19" s="16">
        <f>IF(34&gt;=Assumptions!B$52,Assumptions!B$39,0)</f>
        <v/>
      </c>
      <c r="AJ19" s="16">
        <f>IF(35&gt;=Assumptions!B$52,Assumptions!B$39,0)</f>
        <v/>
      </c>
      <c r="AK19" s="16">
        <f>IF(36&gt;=Assumptions!B$52,Assumptions!B$39,0)</f>
        <v/>
      </c>
      <c r="AL19" s="16">
        <f>SUM(B19:M19)</f>
        <v/>
      </c>
      <c r="AM19" s="16">
        <f>SUM(N19:Y19)</f>
        <v/>
      </c>
      <c r="AN19" s="16">
        <f>SUM(Z19:AK19)</f>
        <v/>
      </c>
    </row>
    <row r="20">
      <c r="A20" s="10" t="inlineStr">
        <is>
          <t>Marketing Lead (from M9)</t>
        </is>
      </c>
      <c r="B20" s="16">
        <f>IF(1&gt;=Assumptions!B$53,Assumptions!B$40,0)</f>
        <v/>
      </c>
      <c r="C20" s="16">
        <f>IF(2&gt;=Assumptions!B$53,Assumptions!B$40,0)</f>
        <v/>
      </c>
      <c r="D20" s="16">
        <f>IF(3&gt;=Assumptions!B$53,Assumptions!B$40,0)</f>
        <v/>
      </c>
      <c r="E20" s="16">
        <f>IF(4&gt;=Assumptions!B$53,Assumptions!B$40,0)</f>
        <v/>
      </c>
      <c r="F20" s="16">
        <f>IF(5&gt;=Assumptions!B$53,Assumptions!B$40,0)</f>
        <v/>
      </c>
      <c r="G20" s="16">
        <f>IF(6&gt;=Assumptions!B$53,Assumptions!B$40,0)</f>
        <v/>
      </c>
      <c r="H20" s="16">
        <f>IF(7&gt;=Assumptions!B$53,Assumptions!B$40,0)</f>
        <v/>
      </c>
      <c r="I20" s="16">
        <f>IF(8&gt;=Assumptions!B$53,Assumptions!B$40,0)</f>
        <v/>
      </c>
      <c r="J20" s="16">
        <f>IF(9&gt;=Assumptions!B$53,Assumptions!B$40,0)</f>
        <v/>
      </c>
      <c r="K20" s="16">
        <f>IF(10&gt;=Assumptions!B$53,Assumptions!B$40,0)</f>
        <v/>
      </c>
      <c r="L20" s="16">
        <f>IF(11&gt;=Assumptions!B$53,Assumptions!B$40,0)</f>
        <v/>
      </c>
      <c r="M20" s="16">
        <f>IF(12&gt;=Assumptions!B$53,Assumptions!B$40,0)</f>
        <v/>
      </c>
      <c r="N20" s="16">
        <f>IF(13&gt;=Assumptions!B$53,Assumptions!B$40,0)</f>
        <v/>
      </c>
      <c r="O20" s="16">
        <f>IF(14&gt;=Assumptions!B$53,Assumptions!B$40,0)</f>
        <v/>
      </c>
      <c r="P20" s="16">
        <f>IF(15&gt;=Assumptions!B$53,Assumptions!B$40,0)</f>
        <v/>
      </c>
      <c r="Q20" s="16">
        <f>IF(16&gt;=Assumptions!B$53,Assumptions!B$40,0)</f>
        <v/>
      </c>
      <c r="R20" s="16">
        <f>IF(17&gt;=Assumptions!B$53,Assumptions!B$40,0)</f>
        <v/>
      </c>
      <c r="S20" s="16">
        <f>IF(18&gt;=Assumptions!B$53,Assumptions!B$40,0)</f>
        <v/>
      </c>
      <c r="T20" s="16">
        <f>IF(19&gt;=Assumptions!B$53,Assumptions!B$40,0)</f>
        <v/>
      </c>
      <c r="U20" s="16">
        <f>IF(20&gt;=Assumptions!B$53,Assumptions!B$40,0)</f>
        <v/>
      </c>
      <c r="V20" s="16">
        <f>IF(21&gt;=Assumptions!B$53,Assumptions!B$40,0)</f>
        <v/>
      </c>
      <c r="W20" s="16">
        <f>IF(22&gt;=Assumptions!B$53,Assumptions!B$40,0)</f>
        <v/>
      </c>
      <c r="X20" s="16">
        <f>IF(23&gt;=Assumptions!B$53,Assumptions!B$40,0)</f>
        <v/>
      </c>
      <c r="Y20" s="16">
        <f>IF(24&gt;=Assumptions!B$53,Assumptions!B$40,0)</f>
        <v/>
      </c>
      <c r="Z20" s="16">
        <f>IF(25&gt;=Assumptions!B$53,Assumptions!B$40,0)</f>
        <v/>
      </c>
      <c r="AA20" s="16">
        <f>IF(26&gt;=Assumptions!B$53,Assumptions!B$40,0)</f>
        <v/>
      </c>
      <c r="AB20" s="16">
        <f>IF(27&gt;=Assumptions!B$53,Assumptions!B$40,0)</f>
        <v/>
      </c>
      <c r="AC20" s="16">
        <f>IF(28&gt;=Assumptions!B$53,Assumptions!B$40,0)</f>
        <v/>
      </c>
      <c r="AD20" s="16">
        <f>IF(29&gt;=Assumptions!B$53,Assumptions!B$40,0)</f>
        <v/>
      </c>
      <c r="AE20" s="16">
        <f>IF(30&gt;=Assumptions!B$53,Assumptions!B$40,0)</f>
        <v/>
      </c>
      <c r="AF20" s="16">
        <f>IF(31&gt;=Assumptions!B$53,Assumptions!B$40,0)</f>
        <v/>
      </c>
      <c r="AG20" s="16">
        <f>IF(32&gt;=Assumptions!B$53,Assumptions!B$40,0)</f>
        <v/>
      </c>
      <c r="AH20" s="16">
        <f>IF(33&gt;=Assumptions!B$53,Assumptions!B$40,0)</f>
        <v/>
      </c>
      <c r="AI20" s="16">
        <f>IF(34&gt;=Assumptions!B$53,Assumptions!B$40,0)</f>
        <v/>
      </c>
      <c r="AJ20" s="16">
        <f>IF(35&gt;=Assumptions!B$53,Assumptions!B$40,0)</f>
        <v/>
      </c>
      <c r="AK20" s="16">
        <f>IF(36&gt;=Assumptions!B$53,Assumptions!B$40,0)</f>
        <v/>
      </c>
      <c r="AL20" s="16">
        <f>SUM(B20:M20)</f>
        <v/>
      </c>
      <c r="AM20" s="16">
        <f>SUM(N20:Y20)</f>
        <v/>
      </c>
      <c r="AN20" s="16">
        <f>SUM(Z20:AK20)</f>
        <v/>
      </c>
    </row>
    <row r="21">
      <c r="A21" s="10" t="inlineStr">
        <is>
          <t>Customer Success (from M12)</t>
        </is>
      </c>
      <c r="B21" s="16">
        <f>IF(1&gt;=Assumptions!B$54,Assumptions!B$40,0)</f>
        <v/>
      </c>
      <c r="C21" s="16">
        <f>IF(2&gt;=Assumptions!B$54,Assumptions!B$40,0)</f>
        <v/>
      </c>
      <c r="D21" s="16">
        <f>IF(3&gt;=Assumptions!B$54,Assumptions!B$40,0)</f>
        <v/>
      </c>
      <c r="E21" s="16">
        <f>IF(4&gt;=Assumptions!B$54,Assumptions!B$40,0)</f>
        <v/>
      </c>
      <c r="F21" s="16">
        <f>IF(5&gt;=Assumptions!B$54,Assumptions!B$40,0)</f>
        <v/>
      </c>
      <c r="G21" s="16">
        <f>IF(6&gt;=Assumptions!B$54,Assumptions!B$40,0)</f>
        <v/>
      </c>
      <c r="H21" s="16">
        <f>IF(7&gt;=Assumptions!B$54,Assumptions!B$40,0)</f>
        <v/>
      </c>
      <c r="I21" s="16">
        <f>IF(8&gt;=Assumptions!B$54,Assumptions!B$40,0)</f>
        <v/>
      </c>
      <c r="J21" s="16">
        <f>IF(9&gt;=Assumptions!B$54,Assumptions!B$40,0)</f>
        <v/>
      </c>
      <c r="K21" s="16">
        <f>IF(10&gt;=Assumptions!B$54,Assumptions!B$40,0)</f>
        <v/>
      </c>
      <c r="L21" s="16">
        <f>IF(11&gt;=Assumptions!B$54,Assumptions!B$40,0)</f>
        <v/>
      </c>
      <c r="M21" s="16">
        <f>IF(12&gt;=Assumptions!B$54,Assumptions!B$40,0)</f>
        <v/>
      </c>
      <c r="N21" s="16">
        <f>IF(13&gt;=Assumptions!B$54,Assumptions!B$40,0)</f>
        <v/>
      </c>
      <c r="O21" s="16">
        <f>IF(14&gt;=Assumptions!B$54,Assumptions!B$40,0)</f>
        <v/>
      </c>
      <c r="P21" s="16">
        <f>IF(15&gt;=Assumptions!B$54,Assumptions!B$40,0)</f>
        <v/>
      </c>
      <c r="Q21" s="16">
        <f>IF(16&gt;=Assumptions!B$54,Assumptions!B$40,0)</f>
        <v/>
      </c>
      <c r="R21" s="16">
        <f>IF(17&gt;=Assumptions!B$54,Assumptions!B$40,0)</f>
        <v/>
      </c>
      <c r="S21" s="16">
        <f>IF(18&gt;=Assumptions!B$54,Assumptions!B$40,0)</f>
        <v/>
      </c>
      <c r="T21" s="16">
        <f>IF(19&gt;=Assumptions!B$54,Assumptions!B$40,0)</f>
        <v/>
      </c>
      <c r="U21" s="16">
        <f>IF(20&gt;=Assumptions!B$54,Assumptions!B$40,0)</f>
        <v/>
      </c>
      <c r="V21" s="16">
        <f>IF(21&gt;=Assumptions!B$54,Assumptions!B$40,0)</f>
        <v/>
      </c>
      <c r="W21" s="16">
        <f>IF(22&gt;=Assumptions!B$54,Assumptions!B$40,0)</f>
        <v/>
      </c>
      <c r="X21" s="16">
        <f>IF(23&gt;=Assumptions!B$54,Assumptions!B$40,0)</f>
        <v/>
      </c>
      <c r="Y21" s="16">
        <f>IF(24&gt;=Assumptions!B$54,Assumptions!B$40,0)</f>
        <v/>
      </c>
      <c r="Z21" s="16">
        <f>IF(25&gt;=Assumptions!B$54,Assumptions!B$40,0)</f>
        <v/>
      </c>
      <c r="AA21" s="16">
        <f>IF(26&gt;=Assumptions!B$54,Assumptions!B$40,0)</f>
        <v/>
      </c>
      <c r="AB21" s="16">
        <f>IF(27&gt;=Assumptions!B$54,Assumptions!B$40,0)</f>
        <v/>
      </c>
      <c r="AC21" s="16">
        <f>IF(28&gt;=Assumptions!B$54,Assumptions!B$40,0)</f>
        <v/>
      </c>
      <c r="AD21" s="16">
        <f>IF(29&gt;=Assumptions!B$54,Assumptions!B$40,0)</f>
        <v/>
      </c>
      <c r="AE21" s="16">
        <f>IF(30&gt;=Assumptions!B$54,Assumptions!B$40,0)</f>
        <v/>
      </c>
      <c r="AF21" s="16">
        <f>IF(31&gt;=Assumptions!B$54,Assumptions!B$40,0)</f>
        <v/>
      </c>
      <c r="AG21" s="16">
        <f>IF(32&gt;=Assumptions!B$54,Assumptions!B$40,0)</f>
        <v/>
      </c>
      <c r="AH21" s="16">
        <f>IF(33&gt;=Assumptions!B$54,Assumptions!B$40,0)</f>
        <v/>
      </c>
      <c r="AI21" s="16">
        <f>IF(34&gt;=Assumptions!B$54,Assumptions!B$40,0)</f>
        <v/>
      </c>
      <c r="AJ21" s="16">
        <f>IF(35&gt;=Assumptions!B$54,Assumptions!B$40,0)</f>
        <v/>
      </c>
      <c r="AK21" s="16">
        <f>IF(36&gt;=Assumptions!B$54,Assumptions!B$40,0)</f>
        <v/>
      </c>
      <c r="AL21" s="16">
        <f>SUM(B21:M21)</f>
        <v/>
      </c>
      <c r="AM21" s="16">
        <f>SUM(N21:Y21)</f>
        <v/>
      </c>
      <c r="AN21" s="16">
        <f>SUM(Z21:AK21)</f>
        <v/>
      </c>
    </row>
    <row r="22">
      <c r="A22" s="10" t="inlineStr">
        <is>
          <t>Cloud + infra</t>
        </is>
      </c>
      <c r="B22" s="16">
        <f>Assumptions!B$41</f>
        <v/>
      </c>
      <c r="C22" s="16">
        <f>Assumptions!B$41</f>
        <v/>
      </c>
      <c r="D22" s="16">
        <f>Assumptions!B$41</f>
        <v/>
      </c>
      <c r="E22" s="16">
        <f>Assumptions!B$41</f>
        <v/>
      </c>
      <c r="F22" s="16">
        <f>Assumptions!B$41</f>
        <v/>
      </c>
      <c r="G22" s="16">
        <f>Assumptions!B$41</f>
        <v/>
      </c>
      <c r="H22" s="16">
        <f>Assumptions!B$41</f>
        <v/>
      </c>
      <c r="I22" s="16">
        <f>Assumptions!B$41</f>
        <v/>
      </c>
      <c r="J22" s="16">
        <f>Assumptions!B$41</f>
        <v/>
      </c>
      <c r="K22" s="16">
        <f>Assumptions!B$41</f>
        <v/>
      </c>
      <c r="L22" s="16">
        <f>Assumptions!B$41</f>
        <v/>
      </c>
      <c r="M22" s="16">
        <f>Assumptions!B$41</f>
        <v/>
      </c>
      <c r="N22" s="16">
        <f>Assumptions!B$41</f>
        <v/>
      </c>
      <c r="O22" s="16">
        <f>Assumptions!B$41</f>
        <v/>
      </c>
      <c r="P22" s="16">
        <f>Assumptions!B$41</f>
        <v/>
      </c>
      <c r="Q22" s="16">
        <f>Assumptions!B$41</f>
        <v/>
      </c>
      <c r="R22" s="16">
        <f>Assumptions!B$41</f>
        <v/>
      </c>
      <c r="S22" s="16">
        <f>Assumptions!B$41</f>
        <v/>
      </c>
      <c r="T22" s="16">
        <f>Assumptions!B$41</f>
        <v/>
      </c>
      <c r="U22" s="16">
        <f>Assumptions!B$41</f>
        <v/>
      </c>
      <c r="V22" s="16">
        <f>Assumptions!B$41</f>
        <v/>
      </c>
      <c r="W22" s="16">
        <f>Assumptions!B$41</f>
        <v/>
      </c>
      <c r="X22" s="16">
        <f>Assumptions!B$41</f>
        <v/>
      </c>
      <c r="Y22" s="16">
        <f>Assumptions!B$41</f>
        <v/>
      </c>
      <c r="Z22" s="16">
        <f>Assumptions!B$41</f>
        <v/>
      </c>
      <c r="AA22" s="16">
        <f>Assumptions!B$41</f>
        <v/>
      </c>
      <c r="AB22" s="16">
        <f>Assumptions!B$41</f>
        <v/>
      </c>
      <c r="AC22" s="16">
        <f>Assumptions!B$41</f>
        <v/>
      </c>
      <c r="AD22" s="16">
        <f>Assumptions!B$41</f>
        <v/>
      </c>
      <c r="AE22" s="16">
        <f>Assumptions!B$41</f>
        <v/>
      </c>
      <c r="AF22" s="16">
        <f>Assumptions!B$41</f>
        <v/>
      </c>
      <c r="AG22" s="16">
        <f>Assumptions!B$41</f>
        <v/>
      </c>
      <c r="AH22" s="16">
        <f>Assumptions!B$41</f>
        <v/>
      </c>
      <c r="AI22" s="16">
        <f>Assumptions!B$41</f>
        <v/>
      </c>
      <c r="AJ22" s="16">
        <f>Assumptions!B$41</f>
        <v/>
      </c>
      <c r="AK22" s="16">
        <f>Assumptions!B$41</f>
        <v/>
      </c>
      <c r="AL22" s="16">
        <f>SUM(B22:M22)</f>
        <v/>
      </c>
      <c r="AM22" s="16">
        <f>SUM(N22:Y22)</f>
        <v/>
      </c>
      <c r="AN22" s="16">
        <f>SUM(Z22:AK22)</f>
        <v/>
      </c>
    </row>
    <row r="23">
      <c r="A23" s="10" t="inlineStr">
        <is>
          <t>AI/LLM API spend</t>
        </is>
      </c>
      <c r="B23" s="16">
        <f>Assumptions!B$42+(B6+B7)*Assumptions!B$43</f>
        <v/>
      </c>
      <c r="C23" s="16">
        <f>Assumptions!B$42+(C6+C7)*Assumptions!B$43</f>
        <v/>
      </c>
      <c r="D23" s="16">
        <f>Assumptions!B$42+(D6+D7)*Assumptions!B$43</f>
        <v/>
      </c>
      <c r="E23" s="16">
        <f>Assumptions!B$42+(E6+E7)*Assumptions!B$43</f>
        <v/>
      </c>
      <c r="F23" s="16">
        <f>Assumptions!B$42+(F6+F7)*Assumptions!B$43</f>
        <v/>
      </c>
      <c r="G23" s="16">
        <f>Assumptions!B$42+(G6+G7)*Assumptions!B$43</f>
        <v/>
      </c>
      <c r="H23" s="16">
        <f>Assumptions!B$42+(H6+H7)*Assumptions!B$43</f>
        <v/>
      </c>
      <c r="I23" s="16">
        <f>Assumptions!B$42+(I6+I7)*Assumptions!B$43</f>
        <v/>
      </c>
      <c r="J23" s="16">
        <f>Assumptions!B$42+(J6+J7)*Assumptions!B$43</f>
        <v/>
      </c>
      <c r="K23" s="16">
        <f>Assumptions!B$42+(K6+K7)*Assumptions!B$43</f>
        <v/>
      </c>
      <c r="L23" s="16">
        <f>Assumptions!B$42+(L6+L7)*Assumptions!B$43</f>
        <v/>
      </c>
      <c r="M23" s="16">
        <f>Assumptions!B$42+(M6+M7)*Assumptions!B$43</f>
        <v/>
      </c>
      <c r="N23" s="16">
        <f>Assumptions!B$42+(N6+N7)*Assumptions!B$43</f>
        <v/>
      </c>
      <c r="O23" s="16">
        <f>Assumptions!B$42+(O6+O7)*Assumptions!B$43</f>
        <v/>
      </c>
      <c r="P23" s="16">
        <f>Assumptions!B$42+(P6+P7)*Assumptions!B$43</f>
        <v/>
      </c>
      <c r="Q23" s="16">
        <f>Assumptions!B$42+(Q6+Q7)*Assumptions!B$43</f>
        <v/>
      </c>
      <c r="R23" s="16">
        <f>Assumptions!B$42+(R6+R7)*Assumptions!B$43</f>
        <v/>
      </c>
      <c r="S23" s="16">
        <f>Assumptions!B$42+(S6+S7)*Assumptions!B$43</f>
        <v/>
      </c>
      <c r="T23" s="16">
        <f>Assumptions!B$42+(T6+T7)*Assumptions!B$43</f>
        <v/>
      </c>
      <c r="U23" s="16">
        <f>Assumptions!B$42+(U6+U7)*Assumptions!B$43</f>
        <v/>
      </c>
      <c r="V23" s="16">
        <f>Assumptions!B$42+(V6+V7)*Assumptions!B$43</f>
        <v/>
      </c>
      <c r="W23" s="16">
        <f>Assumptions!B$42+(W6+W7)*Assumptions!B$43</f>
        <v/>
      </c>
      <c r="X23" s="16">
        <f>Assumptions!B$42+(X6+X7)*Assumptions!B$43</f>
        <v/>
      </c>
      <c r="Y23" s="16">
        <f>Assumptions!B$42+(Y6+Y7)*Assumptions!B$43</f>
        <v/>
      </c>
      <c r="Z23" s="16">
        <f>Assumptions!B$42+(Z6+Z7)*Assumptions!B$43</f>
        <v/>
      </c>
      <c r="AA23" s="16">
        <f>Assumptions!B$42+(AA6+AA7)*Assumptions!B$43</f>
        <v/>
      </c>
      <c r="AB23" s="16">
        <f>Assumptions!B$42+(AB6+AB7)*Assumptions!B$43</f>
        <v/>
      </c>
      <c r="AC23" s="16">
        <f>Assumptions!B$42+(AC6+AC7)*Assumptions!B$43</f>
        <v/>
      </c>
      <c r="AD23" s="16">
        <f>Assumptions!B$42+(AD6+AD7)*Assumptions!B$43</f>
        <v/>
      </c>
      <c r="AE23" s="16">
        <f>Assumptions!B$42+(AE6+AE7)*Assumptions!B$43</f>
        <v/>
      </c>
      <c r="AF23" s="16">
        <f>Assumptions!B$42+(AF6+AF7)*Assumptions!B$43</f>
        <v/>
      </c>
      <c r="AG23" s="16">
        <f>Assumptions!B$42+(AG6+AG7)*Assumptions!B$43</f>
        <v/>
      </c>
      <c r="AH23" s="16">
        <f>Assumptions!B$42+(AH6+AH7)*Assumptions!B$43</f>
        <v/>
      </c>
      <c r="AI23" s="16">
        <f>Assumptions!B$42+(AI6+AI7)*Assumptions!B$43</f>
        <v/>
      </c>
      <c r="AJ23" s="16">
        <f>Assumptions!B$42+(AJ6+AJ7)*Assumptions!B$43</f>
        <v/>
      </c>
      <c r="AK23" s="16">
        <f>Assumptions!B$42+(AK6+AK7)*Assumptions!B$43</f>
        <v/>
      </c>
      <c r="AL23" s="16">
        <f>SUM(B23:M23)</f>
        <v/>
      </c>
      <c r="AM23" s="16">
        <f>SUM(N23:Y23)</f>
        <v/>
      </c>
      <c r="AN23" s="16">
        <f>SUM(Z23:AK23)</f>
        <v/>
      </c>
    </row>
    <row r="24">
      <c r="A24" s="10" t="inlineStr">
        <is>
          <t>Tools &amp; SaaS</t>
        </is>
      </c>
      <c r="B24" s="16">
        <f>Assumptions!B$44</f>
        <v/>
      </c>
      <c r="C24" s="16">
        <f>Assumptions!B$44</f>
        <v/>
      </c>
      <c r="D24" s="16">
        <f>Assumptions!B$44</f>
        <v/>
      </c>
      <c r="E24" s="16">
        <f>Assumptions!B$44</f>
        <v/>
      </c>
      <c r="F24" s="16">
        <f>Assumptions!B$44</f>
        <v/>
      </c>
      <c r="G24" s="16">
        <f>Assumptions!B$44</f>
        <v/>
      </c>
      <c r="H24" s="16">
        <f>Assumptions!B$44</f>
        <v/>
      </c>
      <c r="I24" s="16">
        <f>Assumptions!B$44</f>
        <v/>
      </c>
      <c r="J24" s="16">
        <f>Assumptions!B$44</f>
        <v/>
      </c>
      <c r="K24" s="16">
        <f>Assumptions!B$44</f>
        <v/>
      </c>
      <c r="L24" s="16">
        <f>Assumptions!B$44</f>
        <v/>
      </c>
      <c r="M24" s="16">
        <f>Assumptions!B$44</f>
        <v/>
      </c>
      <c r="N24" s="16">
        <f>Assumptions!B$44</f>
        <v/>
      </c>
      <c r="O24" s="16">
        <f>Assumptions!B$44</f>
        <v/>
      </c>
      <c r="P24" s="16">
        <f>Assumptions!B$44</f>
        <v/>
      </c>
      <c r="Q24" s="16">
        <f>Assumptions!B$44</f>
        <v/>
      </c>
      <c r="R24" s="16">
        <f>Assumptions!B$44</f>
        <v/>
      </c>
      <c r="S24" s="16">
        <f>Assumptions!B$44</f>
        <v/>
      </c>
      <c r="T24" s="16">
        <f>Assumptions!B$44</f>
        <v/>
      </c>
      <c r="U24" s="16">
        <f>Assumptions!B$44</f>
        <v/>
      </c>
      <c r="V24" s="16">
        <f>Assumptions!B$44</f>
        <v/>
      </c>
      <c r="W24" s="16">
        <f>Assumptions!B$44</f>
        <v/>
      </c>
      <c r="X24" s="16">
        <f>Assumptions!B$44</f>
        <v/>
      </c>
      <c r="Y24" s="16">
        <f>Assumptions!B$44</f>
        <v/>
      </c>
      <c r="Z24" s="16">
        <f>Assumptions!B$44</f>
        <v/>
      </c>
      <c r="AA24" s="16">
        <f>Assumptions!B$44</f>
        <v/>
      </c>
      <c r="AB24" s="16">
        <f>Assumptions!B$44</f>
        <v/>
      </c>
      <c r="AC24" s="16">
        <f>Assumptions!B$44</f>
        <v/>
      </c>
      <c r="AD24" s="16">
        <f>Assumptions!B$44</f>
        <v/>
      </c>
      <c r="AE24" s="16">
        <f>Assumptions!B$44</f>
        <v/>
      </c>
      <c r="AF24" s="16">
        <f>Assumptions!B$44</f>
        <v/>
      </c>
      <c r="AG24" s="16">
        <f>Assumptions!B$44</f>
        <v/>
      </c>
      <c r="AH24" s="16">
        <f>Assumptions!B$44</f>
        <v/>
      </c>
      <c r="AI24" s="16">
        <f>Assumptions!B$44</f>
        <v/>
      </c>
      <c r="AJ24" s="16">
        <f>Assumptions!B$44</f>
        <v/>
      </c>
      <c r="AK24" s="16">
        <f>Assumptions!B$44</f>
        <v/>
      </c>
      <c r="AL24" s="16">
        <f>SUM(B24:M24)</f>
        <v/>
      </c>
      <c r="AM24" s="16">
        <f>SUM(N24:Y24)</f>
        <v/>
      </c>
      <c r="AN24" s="16">
        <f>SUM(Z24:AK24)</f>
        <v/>
      </c>
    </row>
    <row r="25">
      <c r="A25" s="10" t="inlineStr">
        <is>
          <t>Legal &amp; accounting</t>
        </is>
      </c>
      <c r="B25" s="16">
        <f>Assumptions!B$45</f>
        <v/>
      </c>
      <c r="C25" s="16">
        <f>Assumptions!B$45</f>
        <v/>
      </c>
      <c r="D25" s="16">
        <f>Assumptions!B$45</f>
        <v/>
      </c>
      <c r="E25" s="16">
        <f>Assumptions!B$45</f>
        <v/>
      </c>
      <c r="F25" s="16">
        <f>Assumptions!B$45</f>
        <v/>
      </c>
      <c r="G25" s="16">
        <f>Assumptions!B$45</f>
        <v/>
      </c>
      <c r="H25" s="16">
        <f>Assumptions!B$45</f>
        <v/>
      </c>
      <c r="I25" s="16">
        <f>Assumptions!B$45</f>
        <v/>
      </c>
      <c r="J25" s="16">
        <f>Assumptions!B$45</f>
        <v/>
      </c>
      <c r="K25" s="16">
        <f>Assumptions!B$45</f>
        <v/>
      </c>
      <c r="L25" s="16">
        <f>Assumptions!B$45</f>
        <v/>
      </c>
      <c r="M25" s="16">
        <f>Assumptions!B$45</f>
        <v/>
      </c>
      <c r="N25" s="16">
        <f>Assumptions!B$45</f>
        <v/>
      </c>
      <c r="O25" s="16">
        <f>Assumptions!B$45</f>
        <v/>
      </c>
      <c r="P25" s="16">
        <f>Assumptions!B$45</f>
        <v/>
      </c>
      <c r="Q25" s="16">
        <f>Assumptions!B$45</f>
        <v/>
      </c>
      <c r="R25" s="16">
        <f>Assumptions!B$45</f>
        <v/>
      </c>
      <c r="S25" s="16">
        <f>Assumptions!B$45</f>
        <v/>
      </c>
      <c r="T25" s="16">
        <f>Assumptions!B$45</f>
        <v/>
      </c>
      <c r="U25" s="16">
        <f>Assumptions!B$45</f>
        <v/>
      </c>
      <c r="V25" s="16">
        <f>Assumptions!B$45</f>
        <v/>
      </c>
      <c r="W25" s="16">
        <f>Assumptions!B$45</f>
        <v/>
      </c>
      <c r="X25" s="16">
        <f>Assumptions!B$45</f>
        <v/>
      </c>
      <c r="Y25" s="16">
        <f>Assumptions!B$45</f>
        <v/>
      </c>
      <c r="Z25" s="16">
        <f>Assumptions!B$45</f>
        <v/>
      </c>
      <c r="AA25" s="16">
        <f>Assumptions!B$45</f>
        <v/>
      </c>
      <c r="AB25" s="16">
        <f>Assumptions!B$45</f>
        <v/>
      </c>
      <c r="AC25" s="16">
        <f>Assumptions!B$45</f>
        <v/>
      </c>
      <c r="AD25" s="16">
        <f>Assumptions!B$45</f>
        <v/>
      </c>
      <c r="AE25" s="16">
        <f>Assumptions!B$45</f>
        <v/>
      </c>
      <c r="AF25" s="16">
        <f>Assumptions!B$45</f>
        <v/>
      </c>
      <c r="AG25" s="16">
        <f>Assumptions!B$45</f>
        <v/>
      </c>
      <c r="AH25" s="16">
        <f>Assumptions!B$45</f>
        <v/>
      </c>
      <c r="AI25" s="16">
        <f>Assumptions!B$45</f>
        <v/>
      </c>
      <c r="AJ25" s="16">
        <f>Assumptions!B$45</f>
        <v/>
      </c>
      <c r="AK25" s="16">
        <f>Assumptions!B$45</f>
        <v/>
      </c>
      <c r="AL25" s="16">
        <f>SUM(B25:M25)</f>
        <v/>
      </c>
      <c r="AM25" s="16">
        <f>SUM(N25:Y25)</f>
        <v/>
      </c>
      <c r="AN25" s="16">
        <f>SUM(Z25:AK25)</f>
        <v/>
      </c>
    </row>
    <row r="26">
      <c r="A26" s="10" t="inlineStr">
        <is>
          <t>Marketing &amp; content</t>
        </is>
      </c>
      <c r="B26" s="16">
        <f>Assumptions!B$46</f>
        <v/>
      </c>
      <c r="C26" s="16">
        <f>Assumptions!B$46</f>
        <v/>
      </c>
      <c r="D26" s="16">
        <f>Assumptions!B$46</f>
        <v/>
      </c>
      <c r="E26" s="16">
        <f>Assumptions!B$46</f>
        <v/>
      </c>
      <c r="F26" s="16">
        <f>Assumptions!B$46</f>
        <v/>
      </c>
      <c r="G26" s="16">
        <f>Assumptions!B$46</f>
        <v/>
      </c>
      <c r="H26" s="16">
        <f>Assumptions!B$46</f>
        <v/>
      </c>
      <c r="I26" s="16">
        <f>Assumptions!B$46</f>
        <v/>
      </c>
      <c r="J26" s="16">
        <f>Assumptions!B$46</f>
        <v/>
      </c>
      <c r="K26" s="16">
        <f>Assumptions!B$46</f>
        <v/>
      </c>
      <c r="L26" s="16">
        <f>Assumptions!B$46</f>
        <v/>
      </c>
      <c r="M26" s="16">
        <f>Assumptions!B$46</f>
        <v/>
      </c>
      <c r="N26" s="16">
        <f>Assumptions!B$46</f>
        <v/>
      </c>
      <c r="O26" s="16">
        <f>Assumptions!B$46</f>
        <v/>
      </c>
      <c r="P26" s="16">
        <f>Assumptions!B$46</f>
        <v/>
      </c>
      <c r="Q26" s="16">
        <f>Assumptions!B$46</f>
        <v/>
      </c>
      <c r="R26" s="16">
        <f>Assumptions!B$46</f>
        <v/>
      </c>
      <c r="S26" s="16">
        <f>Assumptions!B$46</f>
        <v/>
      </c>
      <c r="T26" s="16">
        <f>Assumptions!B$46</f>
        <v/>
      </c>
      <c r="U26" s="16">
        <f>Assumptions!B$46</f>
        <v/>
      </c>
      <c r="V26" s="16">
        <f>Assumptions!B$46</f>
        <v/>
      </c>
      <c r="W26" s="16">
        <f>Assumptions!B$46</f>
        <v/>
      </c>
      <c r="X26" s="16">
        <f>Assumptions!B$46</f>
        <v/>
      </c>
      <c r="Y26" s="16">
        <f>Assumptions!B$46</f>
        <v/>
      </c>
      <c r="Z26" s="16">
        <f>Assumptions!B$46</f>
        <v/>
      </c>
      <c r="AA26" s="16">
        <f>Assumptions!B$46</f>
        <v/>
      </c>
      <c r="AB26" s="16">
        <f>Assumptions!B$46</f>
        <v/>
      </c>
      <c r="AC26" s="16">
        <f>Assumptions!B$46</f>
        <v/>
      </c>
      <c r="AD26" s="16">
        <f>Assumptions!B$46</f>
        <v/>
      </c>
      <c r="AE26" s="16">
        <f>Assumptions!B$46</f>
        <v/>
      </c>
      <c r="AF26" s="16">
        <f>Assumptions!B$46</f>
        <v/>
      </c>
      <c r="AG26" s="16">
        <f>Assumptions!B$46</f>
        <v/>
      </c>
      <c r="AH26" s="16">
        <f>Assumptions!B$46</f>
        <v/>
      </c>
      <c r="AI26" s="16">
        <f>Assumptions!B$46</f>
        <v/>
      </c>
      <c r="AJ26" s="16">
        <f>Assumptions!B$46</f>
        <v/>
      </c>
      <c r="AK26" s="16">
        <f>Assumptions!B$46</f>
        <v/>
      </c>
      <c r="AL26" s="16">
        <f>SUM(B26:M26)</f>
        <v/>
      </c>
      <c r="AM26" s="16">
        <f>SUM(N26:Y26)</f>
        <v/>
      </c>
      <c r="AN26" s="16">
        <f>SUM(Z26:AK26)</f>
        <v/>
      </c>
    </row>
    <row r="27">
      <c r="A27" s="17" t="inlineStr">
        <is>
          <t>TOTAL COSTS</t>
        </is>
      </c>
      <c r="B27" s="18">
        <f>SUM(B16:B26)</f>
        <v/>
      </c>
      <c r="C27" s="18">
        <f>SUM(C16:C26)</f>
        <v/>
      </c>
      <c r="D27" s="18">
        <f>SUM(D16:D26)</f>
        <v/>
      </c>
      <c r="E27" s="18">
        <f>SUM(E16:E26)</f>
        <v/>
      </c>
      <c r="F27" s="18">
        <f>SUM(F16:F26)</f>
        <v/>
      </c>
      <c r="G27" s="18">
        <f>SUM(G16:G26)</f>
        <v/>
      </c>
      <c r="H27" s="18">
        <f>SUM(H16:H26)</f>
        <v/>
      </c>
      <c r="I27" s="18">
        <f>SUM(I16:I26)</f>
        <v/>
      </c>
      <c r="J27" s="18">
        <f>SUM(J16:J26)</f>
        <v/>
      </c>
      <c r="K27" s="18">
        <f>SUM(K16:K26)</f>
        <v/>
      </c>
      <c r="L27" s="18">
        <f>SUM(L16:L26)</f>
        <v/>
      </c>
      <c r="M27" s="18">
        <f>SUM(M16:M26)</f>
        <v/>
      </c>
      <c r="N27" s="18">
        <f>SUM(N16:N26)</f>
        <v/>
      </c>
      <c r="O27" s="18">
        <f>SUM(O16:O26)</f>
        <v/>
      </c>
      <c r="P27" s="18">
        <f>SUM(P16:P26)</f>
        <v/>
      </c>
      <c r="Q27" s="18">
        <f>SUM(Q16:Q26)</f>
        <v/>
      </c>
      <c r="R27" s="18">
        <f>SUM(R16:R26)</f>
        <v/>
      </c>
      <c r="S27" s="18">
        <f>SUM(S16:S26)</f>
        <v/>
      </c>
      <c r="T27" s="18">
        <f>SUM(T16:T26)</f>
        <v/>
      </c>
      <c r="U27" s="18">
        <f>SUM(U16:U26)</f>
        <v/>
      </c>
      <c r="V27" s="18">
        <f>SUM(V16:V26)</f>
        <v/>
      </c>
      <c r="W27" s="18">
        <f>SUM(W16:W26)</f>
        <v/>
      </c>
      <c r="X27" s="18">
        <f>SUM(X16:X26)</f>
        <v/>
      </c>
      <c r="Y27" s="18">
        <f>SUM(Y16:Y26)</f>
        <v/>
      </c>
      <c r="Z27" s="18">
        <f>SUM(Z16:Z26)</f>
        <v/>
      </c>
      <c r="AA27" s="18">
        <f>SUM(AA16:AA26)</f>
        <v/>
      </c>
      <c r="AB27" s="18">
        <f>SUM(AB16:AB26)</f>
        <v/>
      </c>
      <c r="AC27" s="18">
        <f>SUM(AC16:AC26)</f>
        <v/>
      </c>
      <c r="AD27" s="18">
        <f>SUM(AD16:AD26)</f>
        <v/>
      </c>
      <c r="AE27" s="18">
        <f>SUM(AE16:AE26)</f>
        <v/>
      </c>
      <c r="AF27" s="18">
        <f>SUM(AF16:AF26)</f>
        <v/>
      </c>
      <c r="AG27" s="18">
        <f>SUM(AG16:AG26)</f>
        <v/>
      </c>
      <c r="AH27" s="18">
        <f>SUM(AH16:AH26)</f>
        <v/>
      </c>
      <c r="AI27" s="18">
        <f>SUM(AI16:AI26)</f>
        <v/>
      </c>
      <c r="AJ27" s="18">
        <f>SUM(AJ16:AJ26)</f>
        <v/>
      </c>
      <c r="AK27" s="18">
        <f>SUM(AK16:AK26)</f>
        <v/>
      </c>
      <c r="AL27" s="18">
        <f>SUM(B27:M27)</f>
        <v/>
      </c>
      <c r="AM27" s="18">
        <f>SUM(N27:Y27)</f>
        <v/>
      </c>
      <c r="AN27" s="18">
        <f>SUM(Z27:AK27)</f>
        <v/>
      </c>
    </row>
    <row r="28">
      <c r="A28" s="19" t="inlineStr">
        <is>
          <t>NET BURN (€/mo)</t>
        </is>
      </c>
      <c r="B28" s="20">
        <f>B27-B13</f>
        <v/>
      </c>
      <c r="C28" s="20">
        <f>C27-C13</f>
        <v/>
      </c>
      <c r="D28" s="20">
        <f>D27-D13</f>
        <v/>
      </c>
      <c r="E28" s="20">
        <f>E27-E13</f>
        <v/>
      </c>
      <c r="F28" s="20">
        <f>F27-F13</f>
        <v/>
      </c>
      <c r="G28" s="20">
        <f>G27-G13</f>
        <v/>
      </c>
      <c r="H28" s="20">
        <f>H27-H13</f>
        <v/>
      </c>
      <c r="I28" s="20">
        <f>I27-I13</f>
        <v/>
      </c>
      <c r="J28" s="20">
        <f>J27-J13</f>
        <v/>
      </c>
      <c r="K28" s="20">
        <f>K27-K13</f>
        <v/>
      </c>
      <c r="L28" s="20">
        <f>L27-L13</f>
        <v/>
      </c>
      <c r="M28" s="20">
        <f>M27-M13</f>
        <v/>
      </c>
      <c r="N28" s="20">
        <f>N27-N13</f>
        <v/>
      </c>
      <c r="O28" s="20">
        <f>O27-O13</f>
        <v/>
      </c>
      <c r="P28" s="20">
        <f>P27-P13</f>
        <v/>
      </c>
      <c r="Q28" s="20">
        <f>Q27-Q13</f>
        <v/>
      </c>
      <c r="R28" s="20">
        <f>R27-R13</f>
        <v/>
      </c>
      <c r="S28" s="20">
        <f>S27-S13</f>
        <v/>
      </c>
      <c r="T28" s="20">
        <f>T27-T13</f>
        <v/>
      </c>
      <c r="U28" s="20">
        <f>U27-U13</f>
        <v/>
      </c>
      <c r="V28" s="20">
        <f>V27-V13</f>
        <v/>
      </c>
      <c r="W28" s="20">
        <f>W27-W13</f>
        <v/>
      </c>
      <c r="X28" s="20">
        <f>X27-X13</f>
        <v/>
      </c>
      <c r="Y28" s="20">
        <f>Y27-Y13</f>
        <v/>
      </c>
      <c r="Z28" s="20">
        <f>Z27-Z13</f>
        <v/>
      </c>
      <c r="AA28" s="20">
        <f>AA27-AA13</f>
        <v/>
      </c>
      <c r="AB28" s="20">
        <f>AB27-AB13</f>
        <v/>
      </c>
      <c r="AC28" s="20">
        <f>AC27-AC13</f>
        <v/>
      </c>
      <c r="AD28" s="20">
        <f>AD27-AD13</f>
        <v/>
      </c>
      <c r="AE28" s="20">
        <f>AE27-AE13</f>
        <v/>
      </c>
      <c r="AF28" s="20">
        <f>AF27-AF13</f>
        <v/>
      </c>
      <c r="AG28" s="20">
        <f>AG27-AG13</f>
        <v/>
      </c>
      <c r="AH28" s="20">
        <f>AH27-AH13</f>
        <v/>
      </c>
      <c r="AI28" s="20">
        <f>AI27-AI13</f>
        <v/>
      </c>
      <c r="AJ28" s="20">
        <f>AJ27-AJ13</f>
        <v/>
      </c>
      <c r="AK28" s="20">
        <f>AK27-AK13</f>
        <v/>
      </c>
      <c r="AL28" s="18">
        <f>SUM(B28:M28)</f>
        <v/>
      </c>
      <c r="AM28" s="18">
        <f>SUM(N28:Y28)</f>
        <v/>
      </c>
      <c r="AN28" s="18">
        <f>SUM(Z28:AK28)</f>
        <v/>
      </c>
    </row>
  </sheetData>
  <mergeCells count="2">
    <mergeCell ref="A2:AM2"/>
    <mergeCell ref="A1:A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Unit Economics</t>
        </is>
      </c>
    </row>
    <row r="2">
      <c r="A2" s="2" t="inlineStr">
        <is>
          <t>Per-customer economics by tier · Steady-state assumptions</t>
        </is>
      </c>
    </row>
    <row r="4">
      <c r="A4" s="21" t="inlineStr">
        <is>
          <t>Metric</t>
        </is>
      </c>
      <c r="B4" s="21" t="inlineStr">
        <is>
          <t>Tier 1 (Connect)</t>
        </is>
      </c>
      <c r="C4" s="21" t="inlineStr">
        <is>
          <t>Tier 2 (Compete)</t>
        </is>
      </c>
      <c r="D4" s="21" t="inlineStr">
        <is>
          <t>Tier 3 (Dominate)</t>
        </is>
      </c>
      <c r="E4" s="21" t="inlineStr">
        <is>
          <t>Enterprise</t>
        </is>
      </c>
    </row>
    <row r="5">
      <c r="A5" s="22" t="inlineStr">
        <is>
          <t>ARPA — monthly (€)</t>
        </is>
      </c>
      <c r="B5" s="23">
        <f>Assumptions!B18</f>
        <v/>
      </c>
      <c r="C5" s="23">
        <f>Assumptions!B19</f>
        <v/>
      </c>
      <c r="D5" s="23">
        <f>Assumptions!B20</f>
        <v/>
      </c>
      <c r="E5" s="23">
        <f>Assumptions!B22/12</f>
        <v/>
      </c>
    </row>
    <row r="6">
      <c r="A6" s="22" t="inlineStr">
        <is>
          <t>ARPA — annual (€)</t>
        </is>
      </c>
      <c r="B6" s="23">
        <f>B5*12</f>
        <v/>
      </c>
      <c r="C6" s="23">
        <f>C5*12</f>
        <v/>
      </c>
      <c r="D6" s="23">
        <f>D5*12</f>
        <v/>
      </c>
      <c r="E6" s="23">
        <f>Assumptions!B22</f>
        <v/>
      </c>
    </row>
    <row r="7">
      <c r="A7" s="22" t="inlineStr">
        <is>
          <t>COGS — per customer per month (€) [AI + infra share]</t>
        </is>
      </c>
      <c r="B7" s="23" t="n">
        <v>12</v>
      </c>
      <c r="C7" s="23" t="n">
        <v>28</v>
      </c>
      <c r="D7" s="23" t="n">
        <v>55</v>
      </c>
      <c r="E7" s="23" t="n">
        <v>250</v>
      </c>
    </row>
    <row r="8">
      <c r="A8" s="22" t="inlineStr">
        <is>
          <t>Gross margin per customer per month (€)</t>
        </is>
      </c>
      <c r="B8" s="23">
        <f>B5-B7</f>
        <v/>
      </c>
      <c r="C8" s="23">
        <f>C5-C7</f>
        <v/>
      </c>
      <c r="D8" s="23">
        <f>D5-D7</f>
        <v/>
      </c>
      <c r="E8" s="23">
        <f>B6/12-E7</f>
        <v/>
      </c>
    </row>
    <row r="9">
      <c r="A9" s="22" t="inlineStr">
        <is>
          <t>Gross margin %</t>
        </is>
      </c>
      <c r="B9" s="24">
        <f>B8/B5</f>
        <v/>
      </c>
      <c r="C9" s="24">
        <f>C8/C5</f>
        <v/>
      </c>
      <c r="D9" s="24">
        <f>D8/D5</f>
        <v/>
      </c>
      <c r="E9" s="24">
        <f>E8/(E6/12)</f>
        <v/>
      </c>
    </row>
    <row r="10">
      <c r="A10" s="22" t="inlineStr">
        <is>
          <t>Avg monthly logo churn</t>
        </is>
      </c>
      <c r="B10" s="24" t="n">
        <v>0.05</v>
      </c>
      <c r="C10" s="24" t="n">
        <v>0.035</v>
      </c>
      <c r="D10" s="24" t="n">
        <v>0.02</v>
      </c>
      <c r="E10" s="24" t="n">
        <v>0.05</v>
      </c>
    </row>
    <row r="11">
      <c r="A11" s="22" t="inlineStr">
        <is>
          <t>Avg customer lifetime (months) = 1/churn</t>
        </is>
      </c>
      <c r="B11" s="25">
        <f>1/B10</f>
        <v/>
      </c>
      <c r="C11" s="25">
        <f>1/C10</f>
        <v/>
      </c>
      <c r="D11" s="25">
        <f>1/D10</f>
        <v/>
      </c>
      <c r="E11" s="25">
        <f>1/E10</f>
        <v/>
      </c>
    </row>
    <row r="12">
      <c r="A12" s="22" t="inlineStr">
        <is>
          <t>LTV (€) = ARPA × lifetime × margin %</t>
        </is>
      </c>
      <c r="B12" s="23">
        <f>B5*B11*B9</f>
        <v/>
      </c>
      <c r="C12" s="23">
        <f>C5*C11*C9</f>
        <v/>
      </c>
      <c r="D12" s="23">
        <f>D5*D11*D9</f>
        <v/>
      </c>
      <c r="E12" s="23">
        <f>(E6/12)*E11*E9</f>
        <v/>
      </c>
    </row>
    <row r="13">
      <c r="A13" s="22" t="inlineStr">
        <is>
          <t>CAC — blended (€) [estimate]</t>
        </is>
      </c>
      <c r="B13" s="23" t="n">
        <v>250</v>
      </c>
      <c r="C13" s="23" t="n">
        <v>700</v>
      </c>
      <c r="D13" s="23" t="n">
        <v>1800</v>
      </c>
      <c r="E13" s="23" t="n">
        <v>8500</v>
      </c>
    </row>
    <row r="14">
      <c r="A14" s="22" t="inlineStr">
        <is>
          <t>LTV / CAC ratio</t>
        </is>
      </c>
      <c r="B14" s="26">
        <f>B12/B13</f>
        <v/>
      </c>
      <c r="C14" s="26">
        <f>C12/C13</f>
        <v/>
      </c>
      <c r="D14" s="26">
        <f>D12/D13</f>
        <v/>
      </c>
      <c r="E14" s="26">
        <f>E12/E13</f>
        <v/>
      </c>
    </row>
    <row r="15">
      <c r="A15" s="22" t="inlineStr">
        <is>
          <t>CAC payback (months) = CAC / (ARPA × margin %)</t>
        </is>
      </c>
      <c r="B15" s="27">
        <f>B13/(B5*B9)</f>
        <v/>
      </c>
      <c r="C15" s="27">
        <f>C13/(C5*C9)</f>
        <v/>
      </c>
      <c r="D15" s="27">
        <f>D13/(D5*D9)</f>
        <v/>
      </c>
      <c r="E15" s="27">
        <f>E13/((E6/12)*E9)</f>
        <v/>
      </c>
    </row>
    <row r="17">
      <c r="A17" s="10" t="inlineStr">
        <is>
          <t>Notes</t>
        </is>
      </c>
    </row>
    <row r="18" ht="30" customHeight="1">
      <c r="A18" s="28" t="inlineStr">
        <is>
          <t>Tier 1 is self-serve (low CAC via Shopify App Store organic + free scan). Tier 3 has higher CAC from sales-led motion.</t>
        </is>
      </c>
    </row>
    <row r="19" ht="30" customHeight="1">
      <c r="A19" s="28" t="inlineStr">
        <is>
          <t>Enterprise CAC includes 12-week pilot delivery cost — pilots are positioned as free at Year 1 to lower the barrier.</t>
        </is>
      </c>
    </row>
    <row r="20" ht="30" customHeight="1">
      <c r="A20" s="28" t="inlineStr">
        <is>
          <t>Industry benchmark for early-stage SaaS: LTV/CAC &gt; 3:1, CAC payback &lt; 12 months. Tier 1 hits both immediately due to organic acquisition.</t>
        </is>
      </c>
    </row>
    <row r="21" ht="30" customHeight="1">
      <c r="A21" s="28" t="inlineStr">
        <is>
          <t>All COGS figures are estimates based on observed AI/LLM API spend per simulation × monthly scan cadence per tier.</t>
        </is>
      </c>
    </row>
  </sheetData>
  <mergeCells count="6">
    <mergeCell ref="A21:E21"/>
    <mergeCell ref="A20:E20"/>
    <mergeCell ref="A2:E2"/>
    <mergeCell ref="A19:E19"/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8" customWidth="1" min="8" max="8"/>
    <col width="18" customWidth="1" min="9" max="9"/>
  </cols>
  <sheetData>
    <row r="1">
      <c r="A1" s="1" t="inlineStr">
        <is>
          <t>Burn &amp; Runway Analysis</t>
        </is>
      </c>
    </row>
    <row r="2">
      <c r="A2" s="2" t="inlineStr">
        <is>
          <t>Pre-raise vs. post-raise scenarios. Driven by P&amp;L 36 Months tab.</t>
        </is>
      </c>
    </row>
    <row r="4">
      <c r="A4" s="3" t="inlineStr">
        <is>
          <t>PRE-RAISE (today, June 2026)</t>
        </is>
      </c>
      <c r="H4" s="3" t="inlineStr">
        <is>
          <t>RUNWAY SUMMARY</t>
        </is>
      </c>
    </row>
    <row r="5">
      <c r="A5" t="inlineStr">
        <is>
          <t>Cash on hand</t>
        </is>
      </c>
      <c r="B5" s="16">
        <f>Assumptions!B6</f>
        <v/>
      </c>
      <c r="H5" t="inlineStr">
        <is>
          <t>Cash at start of M1 (post-raise)</t>
        </is>
      </c>
      <c r="I5" s="16">
        <f>Assumptions!B6+Assumptions!B12</f>
        <v/>
      </c>
    </row>
    <row r="6">
      <c r="A6" t="inlineStr">
        <is>
          <t>Current MRR</t>
        </is>
      </c>
      <c r="B6" s="16">
        <f>Assumptions!B7</f>
        <v/>
      </c>
      <c r="H6" t="inlineStr">
        <is>
          <t>Cash at end of Year 1</t>
        </is>
      </c>
      <c r="I6" s="16">
        <f>F26</f>
        <v/>
      </c>
    </row>
    <row r="7">
      <c r="A7" t="inlineStr">
        <is>
          <t>Current burn (€/mo)</t>
        </is>
      </c>
      <c r="B7" s="16">
        <f>Assumptions!B8</f>
        <v/>
      </c>
      <c r="H7" t="inlineStr">
        <is>
          <t>Cash at end of Year 2</t>
        </is>
      </c>
      <c r="I7" s="16">
        <f>F38</f>
        <v/>
      </c>
    </row>
    <row r="8">
      <c r="A8" t="inlineStr">
        <is>
          <t>Net burn (burn − MRR)</t>
        </is>
      </c>
      <c r="B8" s="16">
        <f>B7-B6</f>
        <v/>
      </c>
      <c r="H8" t="inlineStr">
        <is>
          <t>Cash at end of Year 3</t>
        </is>
      </c>
      <c r="I8" s="16">
        <f>F50</f>
        <v/>
      </c>
    </row>
    <row r="9">
      <c r="A9" t="inlineStr">
        <is>
          <t>Runway at current burn (months)</t>
        </is>
      </c>
      <c r="B9" s="29">
        <f>IF(B8&lt;=0,"infinite",B5/B8)</f>
        <v/>
      </c>
    </row>
    <row r="10">
      <c r="A10" t="inlineStr">
        <is>
          <t>Runway warning threshold (months)</t>
        </is>
      </c>
      <c r="B10" s="15" t="n">
        <v>3</v>
      </c>
      <c r="H10" t="inlineStr">
        <is>
          <t>Y1 net burn</t>
        </is>
      </c>
      <c r="I10" s="16">
        <f>'P&amp;L 36 Months'!AL28</f>
        <v/>
      </c>
    </row>
    <row r="11">
      <c r="H11" t="inlineStr">
        <is>
          <t>Y2 net burn</t>
        </is>
      </c>
      <c r="I11" s="16">
        <f>'P&amp;L 36 Months'!AM28</f>
        <v/>
      </c>
    </row>
    <row r="12">
      <c r="A12" s="3" t="inlineStr">
        <is>
          <t>POST-RAISE (assumes €300K closes M1)</t>
        </is>
      </c>
      <c r="H12" t="inlineStr">
        <is>
          <t>Y3 net burn (positive = profitable!)</t>
        </is>
      </c>
      <c r="I12" s="16">
        <f>'P&amp;L 36 Months'!AN28</f>
        <v/>
      </c>
    </row>
    <row r="13">
      <c r="A13" s="10" t="inlineStr">
        <is>
          <t>Cash position over time</t>
        </is>
      </c>
    </row>
    <row r="14">
      <c r="A14" s="12" t="inlineStr">
        <is>
          <t>Month</t>
        </is>
      </c>
      <c r="B14" s="12" t="inlineStr">
        <is>
          <t>Cash in (€)</t>
        </is>
      </c>
      <c r="C14" s="12" t="inlineStr">
        <is>
          <t>Revenue (€)</t>
        </is>
      </c>
      <c r="D14" s="12" t="inlineStr">
        <is>
          <t>Costs (€)</t>
        </is>
      </c>
      <c r="E14" s="12" t="inlineStr">
        <is>
          <t>Net cash flow (€)</t>
        </is>
      </c>
      <c r="F14" s="12" t="inlineStr">
        <is>
          <t>End-of-month cash (€)</t>
        </is>
      </c>
    </row>
    <row r="15">
      <c r="A15" t="inlineStr">
        <is>
          <t>M1</t>
        </is>
      </c>
      <c r="B15" s="16">
        <f>Assumptions!B12</f>
        <v/>
      </c>
      <c r="C15" s="16">
        <f>'P&amp;L 36 Months'!B13</f>
        <v/>
      </c>
      <c r="D15" s="16">
        <f>'P&amp;L 36 Months'!B27</f>
        <v/>
      </c>
      <c r="E15" s="16">
        <f>B15+C15-D15</f>
        <v/>
      </c>
      <c r="F15" s="16">
        <f>Assumptions!B6+E15</f>
        <v/>
      </c>
    </row>
    <row r="16">
      <c r="A16" t="inlineStr">
        <is>
          <t>M2</t>
        </is>
      </c>
      <c r="B16" s="16" t="n">
        <v>0</v>
      </c>
      <c r="C16" s="16">
        <f>'P&amp;L 36 Months'!C13</f>
        <v/>
      </c>
      <c r="D16" s="16">
        <f>'P&amp;L 36 Months'!C27</f>
        <v/>
      </c>
      <c r="E16" s="16">
        <f>B16+C16-D16</f>
        <v/>
      </c>
      <c r="F16" s="16">
        <f>F15+E16</f>
        <v/>
      </c>
    </row>
    <row r="17">
      <c r="A17" t="inlineStr">
        <is>
          <t>M3</t>
        </is>
      </c>
      <c r="B17" s="16" t="n">
        <v>0</v>
      </c>
      <c r="C17" s="16">
        <f>'P&amp;L 36 Months'!D13</f>
        <v/>
      </c>
      <c r="D17" s="16">
        <f>'P&amp;L 36 Months'!D27</f>
        <v/>
      </c>
      <c r="E17" s="16">
        <f>B17+C17-D17</f>
        <v/>
      </c>
      <c r="F17" s="16">
        <f>F16+E17</f>
        <v/>
      </c>
    </row>
    <row r="18">
      <c r="A18" t="inlineStr">
        <is>
          <t>M4</t>
        </is>
      </c>
      <c r="B18" s="16" t="n">
        <v>0</v>
      </c>
      <c r="C18" s="16">
        <f>'P&amp;L 36 Months'!E13</f>
        <v/>
      </c>
      <c r="D18" s="16">
        <f>'P&amp;L 36 Months'!E27</f>
        <v/>
      </c>
      <c r="E18" s="16">
        <f>B18+C18-D18</f>
        <v/>
      </c>
      <c r="F18" s="16">
        <f>F17+E18</f>
        <v/>
      </c>
    </row>
    <row r="19">
      <c r="A19" t="inlineStr">
        <is>
          <t>M5</t>
        </is>
      </c>
      <c r="B19" s="16" t="n">
        <v>0</v>
      </c>
      <c r="C19" s="16">
        <f>'P&amp;L 36 Months'!F13</f>
        <v/>
      </c>
      <c r="D19" s="16">
        <f>'P&amp;L 36 Months'!F27</f>
        <v/>
      </c>
      <c r="E19" s="16">
        <f>B19+C19-D19</f>
        <v/>
      </c>
      <c r="F19" s="16">
        <f>F18+E19</f>
        <v/>
      </c>
    </row>
    <row r="20">
      <c r="A20" t="inlineStr">
        <is>
          <t>M6</t>
        </is>
      </c>
      <c r="B20" s="16" t="n">
        <v>0</v>
      </c>
      <c r="C20" s="16">
        <f>'P&amp;L 36 Months'!G13</f>
        <v/>
      </c>
      <c r="D20" s="16">
        <f>'P&amp;L 36 Months'!G27</f>
        <v/>
      </c>
      <c r="E20" s="16">
        <f>B20+C20-D20</f>
        <v/>
      </c>
      <c r="F20" s="16">
        <f>F19+E20</f>
        <v/>
      </c>
    </row>
    <row r="21">
      <c r="A21" t="inlineStr">
        <is>
          <t>M7</t>
        </is>
      </c>
      <c r="B21" s="16" t="n">
        <v>0</v>
      </c>
      <c r="C21" s="16">
        <f>'P&amp;L 36 Months'!H13</f>
        <v/>
      </c>
      <c r="D21" s="16">
        <f>'P&amp;L 36 Months'!H27</f>
        <v/>
      </c>
      <c r="E21" s="16">
        <f>B21+C21-D21</f>
        <v/>
      </c>
      <c r="F21" s="16">
        <f>F20+E21</f>
        <v/>
      </c>
    </row>
    <row r="22">
      <c r="A22" t="inlineStr">
        <is>
          <t>M8</t>
        </is>
      </c>
      <c r="B22" s="16" t="n">
        <v>0</v>
      </c>
      <c r="C22" s="16">
        <f>'P&amp;L 36 Months'!I13</f>
        <v/>
      </c>
      <c r="D22" s="16">
        <f>'P&amp;L 36 Months'!I27</f>
        <v/>
      </c>
      <c r="E22" s="16">
        <f>B22+C22-D22</f>
        <v/>
      </c>
      <c r="F22" s="16">
        <f>F21+E22</f>
        <v/>
      </c>
    </row>
    <row r="23">
      <c r="A23" t="inlineStr">
        <is>
          <t>M9</t>
        </is>
      </c>
      <c r="B23" s="16" t="n">
        <v>0</v>
      </c>
      <c r="C23" s="16">
        <f>'P&amp;L 36 Months'!J13</f>
        <v/>
      </c>
      <c r="D23" s="16">
        <f>'P&amp;L 36 Months'!J27</f>
        <v/>
      </c>
      <c r="E23" s="16">
        <f>B23+C23-D23</f>
        <v/>
      </c>
      <c r="F23" s="16">
        <f>F22+E23</f>
        <v/>
      </c>
    </row>
    <row r="24">
      <c r="A24" t="inlineStr">
        <is>
          <t>M10</t>
        </is>
      </c>
      <c r="B24" s="16" t="n">
        <v>0</v>
      </c>
      <c r="C24" s="16">
        <f>'P&amp;L 36 Months'!K13</f>
        <v/>
      </c>
      <c r="D24" s="16">
        <f>'P&amp;L 36 Months'!K27</f>
        <v/>
      </c>
      <c r="E24" s="16">
        <f>B24+C24-D24</f>
        <v/>
      </c>
      <c r="F24" s="16">
        <f>F23+E24</f>
        <v/>
      </c>
    </row>
    <row r="25">
      <c r="A25" t="inlineStr">
        <is>
          <t>M11</t>
        </is>
      </c>
      <c r="B25" s="16" t="n">
        <v>0</v>
      </c>
      <c r="C25" s="16">
        <f>'P&amp;L 36 Months'!L13</f>
        <v/>
      </c>
      <c r="D25" s="16">
        <f>'P&amp;L 36 Months'!L27</f>
        <v/>
      </c>
      <c r="E25" s="16">
        <f>B25+C25-D25</f>
        <v/>
      </c>
      <c r="F25" s="16">
        <f>F24+E25</f>
        <v/>
      </c>
    </row>
    <row r="26">
      <c r="A26" t="inlineStr">
        <is>
          <t>M12</t>
        </is>
      </c>
      <c r="B26" s="16" t="n">
        <v>0</v>
      </c>
      <c r="C26" s="16">
        <f>'P&amp;L 36 Months'!M13</f>
        <v/>
      </c>
      <c r="D26" s="16">
        <f>'P&amp;L 36 Months'!M27</f>
        <v/>
      </c>
      <c r="E26" s="16">
        <f>B26+C26-D26</f>
        <v/>
      </c>
      <c r="F26" s="16">
        <f>F25+E26</f>
        <v/>
      </c>
    </row>
    <row r="27">
      <c r="A27" t="inlineStr">
        <is>
          <t>M13</t>
        </is>
      </c>
      <c r="B27" s="16" t="n">
        <v>0</v>
      </c>
      <c r="C27" s="16">
        <f>'P&amp;L 36 Months'!N13</f>
        <v/>
      </c>
      <c r="D27" s="16">
        <f>'P&amp;L 36 Months'!N27</f>
        <v/>
      </c>
      <c r="E27" s="16">
        <f>B27+C27-D27</f>
        <v/>
      </c>
      <c r="F27" s="16">
        <f>F26+E27</f>
        <v/>
      </c>
    </row>
    <row r="28">
      <c r="A28" t="inlineStr">
        <is>
          <t>M14</t>
        </is>
      </c>
      <c r="B28" s="16" t="n">
        <v>0</v>
      </c>
      <c r="C28" s="16">
        <f>'P&amp;L 36 Months'!O13</f>
        <v/>
      </c>
      <c r="D28" s="16">
        <f>'P&amp;L 36 Months'!O27</f>
        <v/>
      </c>
      <c r="E28" s="16">
        <f>B28+C28-D28</f>
        <v/>
      </c>
      <c r="F28" s="16">
        <f>F27+E28</f>
        <v/>
      </c>
    </row>
    <row r="29">
      <c r="A29" t="inlineStr">
        <is>
          <t>M15</t>
        </is>
      </c>
      <c r="B29" s="16" t="n">
        <v>0</v>
      </c>
      <c r="C29" s="16">
        <f>'P&amp;L 36 Months'!P13</f>
        <v/>
      </c>
      <c r="D29" s="16">
        <f>'P&amp;L 36 Months'!P27</f>
        <v/>
      </c>
      <c r="E29" s="16">
        <f>B29+C29-D29</f>
        <v/>
      </c>
      <c r="F29" s="16">
        <f>F28+E29</f>
        <v/>
      </c>
    </row>
    <row r="30">
      <c r="A30" t="inlineStr">
        <is>
          <t>M16</t>
        </is>
      </c>
      <c r="B30" s="16" t="n">
        <v>0</v>
      </c>
      <c r="C30" s="16">
        <f>'P&amp;L 36 Months'!Q13</f>
        <v/>
      </c>
      <c r="D30" s="16">
        <f>'P&amp;L 36 Months'!Q27</f>
        <v/>
      </c>
      <c r="E30" s="16">
        <f>B30+C30-D30</f>
        <v/>
      </c>
      <c r="F30" s="16">
        <f>F29+E30</f>
        <v/>
      </c>
    </row>
    <row r="31">
      <c r="A31" t="inlineStr">
        <is>
          <t>M17</t>
        </is>
      </c>
      <c r="B31" s="16" t="n">
        <v>0</v>
      </c>
      <c r="C31" s="16">
        <f>'P&amp;L 36 Months'!R13</f>
        <v/>
      </c>
      <c r="D31" s="16">
        <f>'P&amp;L 36 Months'!R27</f>
        <v/>
      </c>
      <c r="E31" s="16">
        <f>B31+C31-D31</f>
        <v/>
      </c>
      <c r="F31" s="16">
        <f>F30+E31</f>
        <v/>
      </c>
    </row>
    <row r="32">
      <c r="A32" t="inlineStr">
        <is>
          <t>M18</t>
        </is>
      </c>
      <c r="B32" s="16" t="n">
        <v>0</v>
      </c>
      <c r="C32" s="16">
        <f>'P&amp;L 36 Months'!S13</f>
        <v/>
      </c>
      <c r="D32" s="16">
        <f>'P&amp;L 36 Months'!S27</f>
        <v/>
      </c>
      <c r="E32" s="16">
        <f>B32+C32-D32</f>
        <v/>
      </c>
      <c r="F32" s="16">
        <f>F31+E32</f>
        <v/>
      </c>
    </row>
    <row r="33">
      <c r="A33" t="inlineStr">
        <is>
          <t>M19</t>
        </is>
      </c>
      <c r="B33" s="16" t="n">
        <v>0</v>
      </c>
      <c r="C33" s="16">
        <f>'P&amp;L 36 Months'!T13</f>
        <v/>
      </c>
      <c r="D33" s="16">
        <f>'P&amp;L 36 Months'!T27</f>
        <v/>
      </c>
      <c r="E33" s="16">
        <f>B33+C33-D33</f>
        <v/>
      </c>
      <c r="F33" s="16">
        <f>F32+E33</f>
        <v/>
      </c>
    </row>
    <row r="34">
      <c r="A34" t="inlineStr">
        <is>
          <t>M20</t>
        </is>
      </c>
      <c r="B34" s="16" t="n">
        <v>0</v>
      </c>
      <c r="C34" s="16">
        <f>'P&amp;L 36 Months'!U13</f>
        <v/>
      </c>
      <c r="D34" s="16">
        <f>'P&amp;L 36 Months'!U27</f>
        <v/>
      </c>
      <c r="E34" s="16">
        <f>B34+C34-D34</f>
        <v/>
      </c>
      <c r="F34" s="16">
        <f>F33+E34</f>
        <v/>
      </c>
    </row>
    <row r="35">
      <c r="A35" t="inlineStr">
        <is>
          <t>M21</t>
        </is>
      </c>
      <c r="B35" s="16" t="n">
        <v>0</v>
      </c>
      <c r="C35" s="16">
        <f>'P&amp;L 36 Months'!V13</f>
        <v/>
      </c>
      <c r="D35" s="16">
        <f>'P&amp;L 36 Months'!V27</f>
        <v/>
      </c>
      <c r="E35" s="16">
        <f>B35+C35-D35</f>
        <v/>
      </c>
      <c r="F35" s="16">
        <f>F34+E35</f>
        <v/>
      </c>
    </row>
    <row r="36">
      <c r="A36" t="inlineStr">
        <is>
          <t>M22</t>
        </is>
      </c>
      <c r="B36" s="16" t="n">
        <v>0</v>
      </c>
      <c r="C36" s="16">
        <f>'P&amp;L 36 Months'!W13</f>
        <v/>
      </c>
      <c r="D36" s="16">
        <f>'P&amp;L 36 Months'!W27</f>
        <v/>
      </c>
      <c r="E36" s="16">
        <f>B36+C36-D36</f>
        <v/>
      </c>
      <c r="F36" s="16">
        <f>F35+E36</f>
        <v/>
      </c>
    </row>
    <row r="37">
      <c r="A37" t="inlineStr">
        <is>
          <t>M23</t>
        </is>
      </c>
      <c r="B37" s="16" t="n">
        <v>0</v>
      </c>
      <c r="C37" s="16">
        <f>'P&amp;L 36 Months'!X13</f>
        <v/>
      </c>
      <c r="D37" s="16">
        <f>'P&amp;L 36 Months'!X27</f>
        <v/>
      </c>
      <c r="E37" s="16">
        <f>B37+C37-D37</f>
        <v/>
      </c>
      <c r="F37" s="16">
        <f>F36+E37</f>
        <v/>
      </c>
    </row>
    <row r="38">
      <c r="A38" t="inlineStr">
        <is>
          <t>M24</t>
        </is>
      </c>
      <c r="B38" s="16" t="n">
        <v>0</v>
      </c>
      <c r="C38" s="16">
        <f>'P&amp;L 36 Months'!Y13</f>
        <v/>
      </c>
      <c r="D38" s="16">
        <f>'P&amp;L 36 Months'!Y27</f>
        <v/>
      </c>
      <c r="E38" s="16">
        <f>B38+C38-D38</f>
        <v/>
      </c>
      <c r="F38" s="16">
        <f>F37+E38</f>
        <v/>
      </c>
    </row>
    <row r="39">
      <c r="A39" t="inlineStr">
        <is>
          <t>M25</t>
        </is>
      </c>
      <c r="B39" s="16" t="n">
        <v>0</v>
      </c>
      <c r="C39" s="16">
        <f>'P&amp;L 36 Months'!Z13</f>
        <v/>
      </c>
      <c r="D39" s="16">
        <f>'P&amp;L 36 Months'!Z27</f>
        <v/>
      </c>
      <c r="E39" s="16">
        <f>B39+C39-D39</f>
        <v/>
      </c>
      <c r="F39" s="16">
        <f>F38+E39</f>
        <v/>
      </c>
    </row>
    <row r="40">
      <c r="A40" t="inlineStr">
        <is>
          <t>M26</t>
        </is>
      </c>
      <c r="B40" s="16" t="n">
        <v>0</v>
      </c>
      <c r="C40" s="16">
        <f>'P&amp;L 36 Months'!AA13</f>
        <v/>
      </c>
      <c r="D40" s="16">
        <f>'P&amp;L 36 Months'!AA27</f>
        <v/>
      </c>
      <c r="E40" s="16">
        <f>B40+C40-D40</f>
        <v/>
      </c>
      <c r="F40" s="16">
        <f>F39+E40</f>
        <v/>
      </c>
    </row>
    <row r="41">
      <c r="A41" t="inlineStr">
        <is>
          <t>M27</t>
        </is>
      </c>
      <c r="B41" s="16" t="n">
        <v>0</v>
      </c>
      <c r="C41" s="16">
        <f>'P&amp;L 36 Months'!AB13</f>
        <v/>
      </c>
      <c r="D41" s="16">
        <f>'P&amp;L 36 Months'!AB27</f>
        <v/>
      </c>
      <c r="E41" s="16">
        <f>B41+C41-D41</f>
        <v/>
      </c>
      <c r="F41" s="16">
        <f>F40+E41</f>
        <v/>
      </c>
    </row>
    <row r="42">
      <c r="A42" t="inlineStr">
        <is>
          <t>M28</t>
        </is>
      </c>
      <c r="B42" s="16" t="n">
        <v>0</v>
      </c>
      <c r="C42" s="16">
        <f>'P&amp;L 36 Months'!AC13</f>
        <v/>
      </c>
      <c r="D42" s="16">
        <f>'P&amp;L 36 Months'!AC27</f>
        <v/>
      </c>
      <c r="E42" s="16">
        <f>B42+C42-D42</f>
        <v/>
      </c>
      <c r="F42" s="16">
        <f>F41+E42</f>
        <v/>
      </c>
    </row>
    <row r="43">
      <c r="A43" t="inlineStr">
        <is>
          <t>M29</t>
        </is>
      </c>
      <c r="B43" s="16" t="n">
        <v>0</v>
      </c>
      <c r="C43" s="16">
        <f>'P&amp;L 36 Months'!AD13</f>
        <v/>
      </c>
      <c r="D43" s="16">
        <f>'P&amp;L 36 Months'!AD27</f>
        <v/>
      </c>
      <c r="E43" s="16">
        <f>B43+C43-D43</f>
        <v/>
      </c>
      <c r="F43" s="16">
        <f>F42+E43</f>
        <v/>
      </c>
    </row>
    <row r="44">
      <c r="A44" t="inlineStr">
        <is>
          <t>M30</t>
        </is>
      </c>
      <c r="B44" s="16" t="n">
        <v>0</v>
      </c>
      <c r="C44" s="16">
        <f>'P&amp;L 36 Months'!AE13</f>
        <v/>
      </c>
      <c r="D44" s="16">
        <f>'P&amp;L 36 Months'!AE27</f>
        <v/>
      </c>
      <c r="E44" s="16">
        <f>B44+C44-D44</f>
        <v/>
      </c>
      <c r="F44" s="16">
        <f>F43+E44</f>
        <v/>
      </c>
    </row>
    <row r="45">
      <c r="A45" t="inlineStr">
        <is>
          <t>M31</t>
        </is>
      </c>
      <c r="B45" s="16" t="n">
        <v>0</v>
      </c>
      <c r="C45" s="16">
        <f>'P&amp;L 36 Months'!AF13</f>
        <v/>
      </c>
      <c r="D45" s="16">
        <f>'P&amp;L 36 Months'!AF27</f>
        <v/>
      </c>
      <c r="E45" s="16">
        <f>B45+C45-D45</f>
        <v/>
      </c>
      <c r="F45" s="16">
        <f>F44+E45</f>
        <v/>
      </c>
    </row>
    <row r="46">
      <c r="A46" t="inlineStr">
        <is>
          <t>M32</t>
        </is>
      </c>
      <c r="B46" s="16" t="n">
        <v>0</v>
      </c>
      <c r="C46" s="16">
        <f>'P&amp;L 36 Months'!AG13</f>
        <v/>
      </c>
      <c r="D46" s="16">
        <f>'P&amp;L 36 Months'!AG27</f>
        <v/>
      </c>
      <c r="E46" s="16">
        <f>B46+C46-D46</f>
        <v/>
      </c>
      <c r="F46" s="16">
        <f>F45+E46</f>
        <v/>
      </c>
    </row>
    <row r="47">
      <c r="A47" t="inlineStr">
        <is>
          <t>M33</t>
        </is>
      </c>
      <c r="B47" s="16" t="n">
        <v>0</v>
      </c>
      <c r="C47" s="16">
        <f>'P&amp;L 36 Months'!AH13</f>
        <v/>
      </c>
      <c r="D47" s="16">
        <f>'P&amp;L 36 Months'!AH27</f>
        <v/>
      </c>
      <c r="E47" s="16">
        <f>B47+C47-D47</f>
        <v/>
      </c>
      <c r="F47" s="16">
        <f>F46+E47</f>
        <v/>
      </c>
    </row>
    <row r="48">
      <c r="A48" t="inlineStr">
        <is>
          <t>M34</t>
        </is>
      </c>
      <c r="B48" s="16" t="n">
        <v>0</v>
      </c>
      <c r="C48" s="16">
        <f>'P&amp;L 36 Months'!AI13</f>
        <v/>
      </c>
      <c r="D48" s="16">
        <f>'P&amp;L 36 Months'!AI27</f>
        <v/>
      </c>
      <c r="E48" s="16">
        <f>B48+C48-D48</f>
        <v/>
      </c>
      <c r="F48" s="16">
        <f>F47+E48</f>
        <v/>
      </c>
    </row>
    <row r="49">
      <c r="A49" t="inlineStr">
        <is>
          <t>M35</t>
        </is>
      </c>
      <c r="B49" s="16" t="n">
        <v>0</v>
      </c>
      <c r="C49" s="16">
        <f>'P&amp;L 36 Months'!AJ13</f>
        <v/>
      </c>
      <c r="D49" s="16">
        <f>'P&amp;L 36 Months'!AJ27</f>
        <v/>
      </c>
      <c r="E49" s="16">
        <f>B49+C49-D49</f>
        <v/>
      </c>
      <c r="F49" s="16">
        <f>F48+E49</f>
        <v/>
      </c>
    </row>
    <row r="50">
      <c r="A50" t="inlineStr">
        <is>
          <t>M36</t>
        </is>
      </c>
      <c r="B50" s="16" t="n">
        <v>0</v>
      </c>
      <c r="C50" s="16">
        <f>'P&amp;L 36 Months'!AK13</f>
        <v/>
      </c>
      <c r="D50" s="16">
        <f>'P&amp;L 36 Months'!AK27</f>
        <v/>
      </c>
      <c r="E50" s="16">
        <f>B50+C50-D50</f>
        <v/>
      </c>
      <c r="F50" s="16">
        <f>F49+E50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56" customWidth="1" min="4" max="4"/>
  </cols>
  <sheetData>
    <row r="1">
      <c r="A1" s="1" t="inlineStr">
        <is>
          <t>Use of Funds — €300K Raise</t>
        </is>
      </c>
    </row>
    <row r="2">
      <c r="A2" s="2" t="inlineStr">
        <is>
          <t>12-month deployment plan against the seed round</t>
        </is>
      </c>
    </row>
    <row r="4">
      <c r="A4" s="30" t="inlineStr">
        <is>
          <t>Category</t>
        </is>
      </c>
      <c r="B4" s="30" t="inlineStr">
        <is>
          <t>% of round</t>
        </is>
      </c>
      <c r="C4" s="30" t="inlineStr">
        <is>
          <t>€ amount</t>
        </is>
      </c>
      <c r="D4" s="30" t="inlineStr">
        <is>
          <t>What it funds</t>
        </is>
      </c>
    </row>
    <row r="5" ht="36" customHeight="1">
      <c r="A5" s="31" t="inlineStr">
        <is>
          <t>Engineering</t>
        </is>
      </c>
      <c r="B5" s="32" t="n">
        <v>0.4</v>
      </c>
      <c r="C5" s="23">
        <f>B5*Assumptions!B$12</f>
        <v/>
      </c>
      <c r="D5" s="33" t="inlineStr">
        <is>
          <t>Two engineering hires (back-end + full-stack), cloud infra scaling, model API budget</t>
        </is>
      </c>
    </row>
    <row r="6" ht="36" customHeight="1">
      <c r="A6" s="31" t="inlineStr">
        <is>
          <t>GTM (sales &amp; marketing)</t>
        </is>
      </c>
      <c r="B6" s="32" t="n">
        <v>0.3</v>
      </c>
      <c r="C6" s="23">
        <f>B6*Assumptions!B$12</f>
        <v/>
      </c>
      <c r="D6" s="33" t="inlineStr">
        <is>
          <t>GTM/Sales Lead hire, Shopify App Store launch campaign, content/SEO, paid acquisition tests</t>
        </is>
      </c>
    </row>
    <row r="7" ht="36" customHeight="1">
      <c r="A7" s="31" t="inlineStr">
        <is>
          <t>Activation + runway</t>
        </is>
      </c>
      <c r="B7" s="32" t="n">
        <v>0.3</v>
      </c>
      <c r="C7" s="23">
        <f>B7*Assumptions!B$12</f>
        <v/>
      </c>
      <c r="D7" s="33" t="inlineStr">
        <is>
          <t>Founder salaries (from M3), customer success, legal &amp; compliance, contingency</t>
        </is>
      </c>
    </row>
    <row r="8">
      <c r="A8" s="17" t="inlineStr">
        <is>
          <t>TOTAL</t>
        </is>
      </c>
      <c r="B8" s="34">
        <f>SUM(B5:B7)</f>
        <v/>
      </c>
      <c r="C8" s="18">
        <f>SUM(C5:C7)</f>
        <v/>
      </c>
    </row>
    <row r="10">
      <c r="A10" s="3" t="inlineStr">
        <is>
          <t>MILESTONES THE RAISE UNLOCKS</t>
        </is>
      </c>
    </row>
    <row r="11">
      <c r="A11" s="12" t="inlineStr">
        <is>
          <t>Quarter</t>
        </is>
      </c>
      <c r="B11" s="12" t="inlineStr">
        <is>
          <t>Milestone</t>
        </is>
      </c>
    </row>
    <row r="12" ht="24" customHeight="1">
      <c r="A12" s="10" t="inlineStr">
        <is>
          <t>Q3 2026</t>
        </is>
      </c>
      <c r="B12" s="28" t="inlineStr">
        <is>
          <t>Shopify App Store listing live, write-back enabled, first 25 paying merchants</t>
        </is>
      </c>
    </row>
    <row r="13" ht="24" customHeight="1">
      <c r="A13" s="10" t="inlineStr">
        <is>
          <t>Q4 2026</t>
        </is>
      </c>
      <c r="B13" s="28" t="inlineStr">
        <is>
          <t>100 paying merchants on Tier 1+, 1 enterprise pilot signed</t>
        </is>
      </c>
    </row>
    <row r="14" ht="24" customHeight="1">
      <c r="A14" s="10" t="inlineStr">
        <is>
          <t>Q1 2027</t>
        </is>
      </c>
      <c r="B14" s="28" t="inlineStr">
        <is>
          <t>WooCommerce integration live, BigCommerce in beta, 2nd enterprise pilot</t>
        </is>
      </c>
    </row>
    <row r="15" ht="24" customHeight="1">
      <c r="A15" s="10" t="inlineStr">
        <is>
          <t>Q2 2027 (EoY1)</t>
        </is>
      </c>
      <c r="B15" s="28" t="inlineStr">
        <is>
          <t>€450K ARR, 2 enterprise pilots delivered, SOC 2 Type I engagement complete</t>
        </is>
      </c>
    </row>
  </sheetData>
  <mergeCells count="7">
    <mergeCell ref="B11:D11"/>
    <mergeCell ref="A1:D1"/>
    <mergeCell ref="B14:D14"/>
    <mergeCell ref="B15:D15"/>
    <mergeCell ref="B13:D13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2026-06-02T05:32:27Z</dcterms:created>
  <dcterms:modified xmlns:dcterms="http://purl.org/dc/terms/" xmlns:xsi="http://www.w3.org/2001/XMLSchema-instance" xsi:type="dcterms:W3CDTF">2026-06-02T05:32:27Z</dcterms:modified>
</cp:coreProperties>
</file>