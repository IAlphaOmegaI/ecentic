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"/>
  </numFmts>
  <fonts count="6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E40AF"/>
      <sz val="12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pivotButton="0" quotePrefix="0" xfId="0"/>
    <xf numFmtId="9" fontId="0" fillId="3" borderId="1" pivotButton="0" quotePrefix="0" xfId="0"/>
    <xf numFmtId="0" fontId="0" fillId="4" borderId="1" pivotButton="0" quotePrefix="0" xfId="0"/>
    <xf numFmtId="164" fontId="0" fillId="4" borderId="1" pivotButton="0" quotePrefix="0" xfId="0"/>
    <xf numFmtId="9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9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5" fillId="0" borderId="0" pivotButton="0" quotePrefix="0" xfId="0"/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4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4" customWidth="1" min="3" max="3"/>
    <col width="22" customWidth="1" min="4" max="4"/>
    <col width="22" customWidth="1" min="5" max="5"/>
    <col width="16" customWidth="1" min="6" max="6"/>
    <col width="18" customWidth="1" min="7" max="7"/>
    <col width="12" customWidth="1" min="8" max="8"/>
    <col width="16" customWidth="1" min="9" max="9"/>
    <col width="50" customWidth="1" min="10" max="10"/>
  </cols>
  <sheetData>
    <row r="1">
      <c r="A1" s="1" t="inlineStr">
        <is>
          <t>écentic — Sales Pipeline</t>
        </is>
      </c>
    </row>
    <row r="2">
      <c r="A2" s="2" t="inlineStr">
        <is>
          <t>Snapshot as of 2 June 2026 · Updated weekly by Iseld (Sales)</t>
        </is>
      </c>
    </row>
    <row r="4">
      <c r="A4" s="3" t="inlineStr">
        <is>
          <t>Account</t>
        </is>
      </c>
      <c r="B4" s="3" t="inlineStr">
        <is>
          <t>Segment</t>
        </is>
      </c>
      <c r="C4" s="3" t="inlineStr">
        <is>
          <t>Country</t>
        </is>
      </c>
      <c r="D4" s="3" t="inlineStr">
        <is>
          <t>Source</t>
        </is>
      </c>
      <c r="E4" s="3" t="inlineStr">
        <is>
          <t>Stage</t>
        </is>
      </c>
      <c r="F4" s="3" t="inlineStr">
        <is>
          <t>Tier</t>
        </is>
      </c>
      <c r="G4" s="3" t="inlineStr">
        <is>
          <t>Projected ACV (€)</t>
        </is>
      </c>
      <c r="H4" s="3" t="inlineStr">
        <is>
          <t>Probability</t>
        </is>
      </c>
      <c r="I4" s="3" t="inlineStr">
        <is>
          <t>Weighted (€)</t>
        </is>
      </c>
      <c r="J4" s="3" t="inlineStr">
        <is>
          <t>Next step</t>
        </is>
      </c>
    </row>
    <row r="5">
      <c r="A5" s="4" t="inlineStr">
        <is>
          <t>Dua Flavours</t>
        </is>
      </c>
      <c r="B5" s="4" t="inlineStr">
        <is>
          <t>DTC beauty/lifestyle</t>
        </is>
      </c>
      <c r="C5" s="4" t="inlineStr">
        <is>
          <t>UK</t>
        </is>
      </c>
      <c r="D5" s="4" t="inlineStr">
        <is>
          <t>Direct</t>
        </is>
      </c>
      <c r="E5" s="4" t="inlineStr">
        <is>
          <t>Live (paying)</t>
        </is>
      </c>
      <c r="F5" s="4" t="inlineStr">
        <is>
          <t>Compete</t>
        </is>
      </c>
      <c r="G5" s="5" t="n">
        <v>5508</v>
      </c>
      <c r="H5" s="6" t="n">
        <v>1</v>
      </c>
      <c r="I5" s="5">
        <f>G5*H5</f>
        <v/>
      </c>
      <c r="J5" s="4" t="inlineStr">
        <is>
          <t>Quarterly review Q3</t>
        </is>
      </c>
    </row>
    <row r="6">
      <c r="A6" s="4" t="inlineStr">
        <is>
          <t>Avatid</t>
        </is>
      </c>
      <c r="B6" s="4" t="inlineStr">
        <is>
          <t>Beauty &amp; self-care services</t>
        </is>
      </c>
      <c r="C6" s="4" t="inlineStr">
        <is>
          <t>UK/Albania</t>
        </is>
      </c>
      <c r="D6" s="4" t="inlineStr">
        <is>
          <t>Network</t>
        </is>
      </c>
      <c r="E6" s="4" t="inlineStr">
        <is>
          <t>Live (paying)</t>
        </is>
      </c>
      <c r="F6" s="4" t="inlineStr">
        <is>
          <t>Compete</t>
        </is>
      </c>
      <c r="G6" s="5" t="n">
        <v>5508</v>
      </c>
      <c r="H6" s="6" t="n">
        <v>1</v>
      </c>
      <c r="I6" s="5">
        <f>G6*H6</f>
        <v/>
      </c>
      <c r="J6" s="4" t="inlineStr">
        <is>
          <t>Quarterly review Q3</t>
        </is>
      </c>
    </row>
    <row r="7">
      <c r="A7" s="7" t="inlineStr">
        <is>
          <t>Carrefour</t>
        </is>
      </c>
      <c r="B7" s="7" t="inlineStr">
        <is>
          <t>Enterprise grocery</t>
        </is>
      </c>
      <c r="C7" s="7" t="inlineStr">
        <is>
          <t>France</t>
        </is>
      </c>
      <c r="D7" s="7" t="inlineStr">
        <is>
          <t>Plug and Play</t>
        </is>
      </c>
      <c r="E7" s="7" t="inlineStr">
        <is>
          <t>Pilot scoping</t>
        </is>
      </c>
      <c r="F7" s="7" t="inlineStr">
        <is>
          <t>Enterprise</t>
        </is>
      </c>
      <c r="G7" s="8" t="n">
        <v>50000</v>
      </c>
      <c r="H7" s="9" t="n">
        <v>0.3</v>
      </c>
      <c r="I7" s="8">
        <f>G7*H7</f>
        <v/>
      </c>
      <c r="J7" s="7" t="inlineStr">
        <is>
          <t>Visa TAP partnership angle, scope call M3</t>
        </is>
      </c>
    </row>
    <row r="8">
      <c r="A8" s="7" t="inlineStr">
        <is>
          <t>eBay</t>
        </is>
      </c>
      <c r="B8" s="7" t="inlineStr">
        <is>
          <t>Marketplace platform</t>
        </is>
      </c>
      <c r="C8" s="7" t="inlineStr">
        <is>
          <t>US</t>
        </is>
      </c>
      <c r="D8" s="7" t="inlineStr">
        <is>
          <t>Plug and Play</t>
        </is>
      </c>
      <c r="E8" s="7" t="inlineStr">
        <is>
          <t>Discovery</t>
        </is>
      </c>
      <c r="F8" s="7" t="inlineStr">
        <is>
          <t>Enterprise</t>
        </is>
      </c>
      <c r="G8" s="8" t="n">
        <v>75000</v>
      </c>
      <c r="H8" s="9" t="n">
        <v>0.2</v>
      </c>
      <c r="I8" s="8">
        <f>G8*H8</f>
        <v/>
      </c>
      <c r="J8" s="7" t="inlineStr">
        <is>
          <t>Awaiting technical scope call (early Q3)</t>
        </is>
      </c>
    </row>
    <row r="9">
      <c r="A9" s="7" t="inlineStr">
        <is>
          <t>Inditex (Zara)</t>
        </is>
      </c>
      <c r="B9" s="7" t="inlineStr">
        <is>
          <t>Enterprise fashion</t>
        </is>
      </c>
      <c r="C9" s="7" t="inlineStr">
        <is>
          <t>Spain</t>
        </is>
      </c>
      <c r="D9" s="7" t="inlineStr">
        <is>
          <t>Plug and Play</t>
        </is>
      </c>
      <c r="E9" s="7" t="inlineStr">
        <is>
          <t>Discovery</t>
        </is>
      </c>
      <c r="F9" s="7" t="inlineStr">
        <is>
          <t>Enterprise</t>
        </is>
      </c>
      <c r="G9" s="8" t="n">
        <v>60000</v>
      </c>
      <c r="H9" s="9" t="n">
        <v>0.15</v>
      </c>
      <c r="I9" s="8">
        <f>G9*H9</f>
        <v/>
      </c>
      <c r="J9" s="7" t="inlineStr">
        <is>
          <t>Initial intro made, follow-up Q3</t>
        </is>
      </c>
    </row>
    <row r="10">
      <c r="A10" s="10" t="inlineStr">
        <is>
          <t>Honey (PnP alum)</t>
        </is>
      </c>
      <c r="B10" s="10" t="inlineStr">
        <is>
          <t>Browser-side commerce</t>
        </is>
      </c>
      <c r="C10" s="10" t="inlineStr">
        <is>
          <t>US</t>
        </is>
      </c>
      <c r="D10" s="10" t="inlineStr">
        <is>
          <t>Plug and Play</t>
        </is>
      </c>
      <c r="E10" s="10" t="inlineStr">
        <is>
          <t>Early</t>
        </is>
      </c>
      <c r="F10" s="10" t="inlineStr">
        <is>
          <t>Compete</t>
        </is>
      </c>
      <c r="G10" s="11" t="n">
        <v>5500</v>
      </c>
      <c r="H10" s="12" t="n">
        <v>0.1</v>
      </c>
      <c r="I10" s="11">
        <f>G10*H10</f>
        <v/>
      </c>
      <c r="J10" s="10" t="inlineStr">
        <is>
          <t>Mentor-channel intro requested</t>
        </is>
      </c>
    </row>
    <row r="11">
      <c r="A11" s="10" t="inlineStr">
        <is>
          <t>Dropbox (PnP alum)</t>
        </is>
      </c>
      <c r="B11" s="10" t="inlineStr">
        <is>
          <t>B2B SaaS adjacency</t>
        </is>
      </c>
      <c r="C11" s="10" t="inlineStr">
        <is>
          <t>US</t>
        </is>
      </c>
      <c r="D11" s="10" t="inlineStr">
        <is>
          <t>Plug and Play</t>
        </is>
      </c>
      <c r="E11" s="10" t="inlineStr">
        <is>
          <t>Early</t>
        </is>
      </c>
      <c r="F11" s="10" t="inlineStr">
        <is>
          <t>Compete</t>
        </is>
      </c>
      <c r="G11" s="11" t="n">
        <v>5500</v>
      </c>
      <c r="H11" s="12" t="n">
        <v>0.05</v>
      </c>
      <c r="I11" s="11">
        <f>G11*H11</f>
        <v/>
      </c>
      <c r="J11" s="10" t="inlineStr">
        <is>
          <t>Long-shot, useful logo if signed</t>
        </is>
      </c>
    </row>
    <row r="12">
      <c r="A12" s="10" t="inlineStr">
        <is>
          <t>Klarna Network Merchant 1</t>
        </is>
      </c>
      <c r="B12" s="10" t="inlineStr">
        <is>
          <t>Lifestyle DTC, GMV €5M</t>
        </is>
      </c>
      <c r="C12" s="10" t="inlineStr">
        <is>
          <t>DE</t>
        </is>
      </c>
      <c r="D12" s="10" t="inlineStr">
        <is>
          <t>Outbound (planned)</t>
        </is>
      </c>
      <c r="E12" s="10" t="inlineStr">
        <is>
          <t>Outbound list</t>
        </is>
      </c>
      <c r="F12" s="10" t="inlineStr">
        <is>
          <t>Compete</t>
        </is>
      </c>
      <c r="G12" s="11" t="n">
        <v>5508</v>
      </c>
      <c r="H12" s="12" t="n">
        <v>0.1</v>
      </c>
      <c r="I12" s="11">
        <f>G12*H12</f>
        <v/>
      </c>
      <c r="J12" s="10" t="inlineStr">
        <is>
          <t>M2 outbound sequence kick-off</t>
        </is>
      </c>
    </row>
    <row r="13">
      <c r="A13" s="10" t="inlineStr">
        <is>
          <t>Klarna Network Merchant 2</t>
        </is>
      </c>
      <c r="B13" s="10" t="inlineStr">
        <is>
          <t>Supplements, GMV €3M</t>
        </is>
      </c>
      <c r="C13" s="10" t="inlineStr">
        <is>
          <t>NL</t>
        </is>
      </c>
      <c r="D13" s="10" t="inlineStr">
        <is>
          <t>Outbound (planned)</t>
        </is>
      </c>
      <c r="E13" s="10" t="inlineStr">
        <is>
          <t>Outbound list</t>
        </is>
      </c>
      <c r="F13" s="10" t="inlineStr">
        <is>
          <t>Compete</t>
        </is>
      </c>
      <c r="G13" s="11" t="n">
        <v>5508</v>
      </c>
      <c r="H13" s="12" t="n">
        <v>0.1</v>
      </c>
      <c r="I13" s="11">
        <f>G13*H13</f>
        <v/>
      </c>
      <c r="J13" s="10" t="inlineStr">
        <is>
          <t>M2 outbound sequence kick-off</t>
        </is>
      </c>
    </row>
    <row r="14">
      <c r="A14" s="10" t="inlineStr">
        <is>
          <t>Klarna Network Merchant 3</t>
        </is>
      </c>
      <c r="B14" s="10" t="inlineStr">
        <is>
          <t>Electronics, GMV €8M</t>
        </is>
      </c>
      <c r="C14" s="10" t="inlineStr">
        <is>
          <t>UK</t>
        </is>
      </c>
      <c r="D14" s="10" t="inlineStr">
        <is>
          <t>Outbound (planned)</t>
        </is>
      </c>
      <c r="E14" s="10" t="inlineStr">
        <is>
          <t>Outbound list</t>
        </is>
      </c>
      <c r="F14" s="10" t="inlineStr">
        <is>
          <t>Dominate</t>
        </is>
      </c>
      <c r="G14" s="11" t="n">
        <v>11028</v>
      </c>
      <c r="H14" s="12" t="n">
        <v>0.1</v>
      </c>
      <c r="I14" s="11">
        <f>G14*H14</f>
        <v/>
      </c>
      <c r="J14" s="10" t="inlineStr">
        <is>
          <t>M2 outbound sequence kick-off</t>
        </is>
      </c>
    </row>
    <row r="15">
      <c r="A15" s="10" t="inlineStr">
        <is>
          <t>Shopify Plus partner agency A</t>
        </is>
      </c>
      <c r="B15" s="10" t="inlineStr">
        <is>
          <t>Agency, manages 12 brands</t>
        </is>
      </c>
      <c r="C15" s="10" t="inlineStr">
        <is>
          <t>UK</t>
        </is>
      </c>
      <c r="D15" s="10" t="inlineStr">
        <is>
          <t>Network</t>
        </is>
      </c>
      <c r="E15" s="10" t="inlineStr">
        <is>
          <t>Partnership early talk</t>
        </is>
      </c>
      <c r="F15" s="10" t="inlineStr">
        <is>
          <t>Agency channel</t>
        </is>
      </c>
      <c r="G15" s="11" t="n">
        <v>33000</v>
      </c>
      <c r="H15" s="12" t="n">
        <v>0.2</v>
      </c>
      <c r="I15" s="11">
        <f>G15*H15</f>
        <v/>
      </c>
      <c r="J15" s="10" t="inlineStr">
        <is>
          <t>Co-marketing proposal Q3</t>
        </is>
      </c>
    </row>
    <row r="16">
      <c r="A16" s="10" t="inlineStr">
        <is>
          <t>Shopify Plus partner agency B</t>
        </is>
      </c>
      <c r="B16" s="10" t="inlineStr">
        <is>
          <t>Agency, manages 8 brands</t>
        </is>
      </c>
      <c r="C16" s="10" t="inlineStr">
        <is>
          <t>DE</t>
        </is>
      </c>
      <c r="D16" s="10" t="inlineStr">
        <is>
          <t>Network</t>
        </is>
      </c>
      <c r="E16" s="10" t="inlineStr">
        <is>
          <t>Partnership early talk</t>
        </is>
      </c>
      <c r="F16" s="10" t="inlineStr">
        <is>
          <t>Agency channel</t>
        </is>
      </c>
      <c r="G16" s="11" t="n">
        <v>22000</v>
      </c>
      <c r="H16" s="12" t="n">
        <v>0.15</v>
      </c>
      <c r="I16" s="11">
        <f>G16*H16</f>
        <v/>
      </c>
      <c r="J16" s="10" t="inlineStr">
        <is>
          <t>Intro requested</t>
        </is>
      </c>
    </row>
    <row r="18">
      <c r="A18" s="13" t="inlineStr">
        <is>
          <t>TOTAL PIPELINE</t>
        </is>
      </c>
      <c r="B18" s="13" t="n"/>
      <c r="C18" s="13" t="n"/>
      <c r="D18" s="13" t="n"/>
      <c r="E18" s="13" t="n"/>
      <c r="F18" s="13" t="n"/>
      <c r="G18" s="14">
        <f>SUM(G5:G16)</f>
        <v/>
      </c>
      <c r="H18" s="13" t="n"/>
      <c r="I18" s="14">
        <f>SUM(I5:I16)</f>
        <v/>
      </c>
      <c r="J18" s="13" t="n"/>
    </row>
    <row r="21">
      <c r="A21" s="15" t="inlineStr">
        <is>
          <t>LEGEND</t>
        </is>
      </c>
    </row>
    <row r="22">
      <c r="A22" s="16" t="inlineStr">
        <is>
          <t>Live (paying)</t>
        </is>
      </c>
      <c r="B22" s="4" t="inlineStr">
        <is>
          <t>Customer is currently billed by écentic on a paid SaaS plan.</t>
        </is>
      </c>
      <c r="C22" s="17" t="n"/>
      <c r="D22" s="17" t="n"/>
      <c r="E22" s="17" t="n"/>
      <c r="F22" s="17" t="n"/>
      <c r="G22" s="17" t="n"/>
      <c r="H22" s="17" t="n"/>
      <c r="I22" s="17" t="n"/>
      <c r="J22" s="18" t="n"/>
    </row>
    <row r="23">
      <c r="A23" s="19" t="inlineStr">
        <is>
          <t>Pilot scoping / In flight</t>
        </is>
      </c>
      <c r="B23" s="7" t="inlineStr">
        <is>
          <t>Active enterprise conversation with named stakeholders. Pilot scope being drafted or under review.</t>
        </is>
      </c>
      <c r="C23" s="17" t="n"/>
      <c r="D23" s="17" t="n"/>
      <c r="E23" s="17" t="n"/>
      <c r="F23" s="17" t="n"/>
      <c r="G23" s="17" t="n"/>
      <c r="H23" s="17" t="n"/>
      <c r="I23" s="17" t="n"/>
      <c r="J23" s="18" t="n"/>
    </row>
    <row r="24">
      <c r="A24" s="13" t="inlineStr">
        <is>
          <t>Early / Outbound / Long-shot</t>
        </is>
      </c>
      <c r="B24" s="10" t="inlineStr">
        <is>
          <t>Identified prospect or outbound list entry. Limited or no qualifying signal yet.</t>
        </is>
      </c>
      <c r="C24" s="17" t="n"/>
      <c r="D24" s="17" t="n"/>
      <c r="E24" s="17" t="n"/>
      <c r="F24" s="17" t="n"/>
      <c r="G24" s="17" t="n"/>
      <c r="H24" s="17" t="n"/>
      <c r="I24" s="17" t="n"/>
      <c r="J24" s="18" t="n"/>
    </row>
  </sheetData>
  <mergeCells count="5">
    <mergeCell ref="A1:J1"/>
    <mergeCell ref="B22:J22"/>
    <mergeCell ref="B23:J23"/>
    <mergeCell ref="A2:J2"/>
    <mergeCell ref="B24:J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Pipeline maintenance notes</t>
        </is>
      </c>
    </row>
    <row r="2">
      <c r="A2" s="2" t="inlineStr">
        <is>
          <t>Conventions, taxonomy, and cadence</t>
        </is>
      </c>
    </row>
    <row r="4" ht="50" customHeight="1">
      <c r="A4" s="20" t="inlineStr">
        <is>
          <t>Update cadence</t>
        </is>
      </c>
      <c r="B4" s="21" t="inlineStr">
        <is>
          <t>Iseld updates this sheet every Friday during the weekly team review. Stage changes are timestamped in a separate change log (data-room/2_traction_financials/2.1_customers/pipeline-change-log.md, to be added).</t>
        </is>
      </c>
    </row>
    <row r="5" ht="50" customHeight="1">
      <c r="A5" s="20" t="inlineStr">
        <is>
          <t>Stage definitions</t>
        </is>
      </c>
      <c r="B5" s="21" t="inlineStr">
        <is>
          <t>Live (paying): customer billed in current month. Pilot scoping: active enterprise conversation, scope document in flight. Discovery: prospect engaged, qualification questions in progress. Outbound list: identified prospect, no contact yet. Early: contact made, qualification pending.</t>
        </is>
      </c>
    </row>
    <row r="6" ht="50" customHeight="1">
      <c r="A6" s="20" t="inlineStr">
        <is>
          <t>Probability anchors</t>
        </is>
      </c>
      <c r="B6" s="21" t="inlineStr">
        <is>
          <t>10% = identified, no contact. 20% = contact made, no qualification. 30% = qualified, scope in flight. 50% = pilot or trial running. 70% = pricing agreed, contract in legal review. 90% = signed contract, awaiting first invoice. 100% = billed.</t>
        </is>
      </c>
    </row>
    <row r="7" ht="50" customHeight="1">
      <c r="A7" s="20" t="inlineStr">
        <is>
          <t>Anti-stale rule</t>
        </is>
      </c>
      <c r="B7" s="21" t="inlineStr">
        <is>
          <t>Any deal in Discovery for more than 30 days without a movement to next stage gets demoted to Early or removed. No deal sits idle.</t>
        </is>
      </c>
    </row>
    <row r="8" ht="50" customHeight="1">
      <c r="A8" s="20" t="inlineStr">
        <is>
          <t>Source codes</t>
        </is>
      </c>
      <c r="B8" s="21" t="inlineStr">
        <is>
          <t>Direct = found us via App Store or website. Network = personal connection of a founder or contractor. Plug and Play = sourced through PnP Tirana corporate ventures pipeline. Outbound = added by GTM Lead from research lists. Press = inbound following a media mention.</t>
        </is>
      </c>
    </row>
  </sheetData>
  <mergeCells count="5">
    <mergeCell ref="B5:D5"/>
    <mergeCell ref="B8:D8"/>
    <mergeCell ref="B4:D4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2026-06-02T13:52:03Z</dcterms:created>
  <dcterms:modified xmlns:dcterms="http://purl.org/dc/terms/" xmlns:xsi="http://www.w3.org/2001/XMLSchema-instance" xsi:type="dcterms:W3CDTF">2026-06-02T13:52:03Z</dcterms:modified>
</cp:coreProperties>
</file>